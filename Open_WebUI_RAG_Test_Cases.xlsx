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947de8105f438f" /></Relationships>
</file>

<file path=xl/workbook.xml><?xml version="1.0" encoding="utf-8"?>
<x:workbook xmlns:x="http://schemas.openxmlformats.org/spreadsheetml/2006/main">
  <x:sheets>
    <x:sheet xmlns:r="http://schemas.openxmlformats.org/officeDocument/2006/relationships" name="Test Cases" sheetId="1" r:id="Ra406d351949b4c97"/>
    <x:sheet xmlns:r="http://schemas.openxmlformats.org/officeDocument/2006/relationships" name="Summary" sheetId="2" r:id="Rf10ab3d94a9b438a"/>
    <x:sheet xmlns:r="http://schemas.openxmlformats.org/officeDocument/2006/relationships" name="Scenario Mapping" sheetId="3" r:id="R71ab4013652d4138"/>
    <x:sheet xmlns:r="http://schemas.openxmlformats.org/officeDocument/2006/relationships" name="RAG Criteria" sheetId="4" r:id="R4a72ea43b53a4e0f"/>
    <x:sheet xmlns:r="http://schemas.openxmlformats.org/officeDocument/2006/relationships" name="Test Documents" sheetId="5" r:id="R3b9ddbcc68e04022"/>
    <x:sheet xmlns:r="http://schemas.openxmlformats.org/officeDocument/2006/relationships" name="Lists" sheetId="6" r:id="Rfdcac749ee2244f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4">
    <x:fill>
      <x:patternFill patternType="none"/>
    </x:fill>
    <x:fill>
      <x:patternFill patternType="gray125"/>
    </x:fill>
    <x:fill>
      <x:patternFill patternType="solid">
        <x:fgColor rgb="FF1F4E78"/>
      </x:patternFill>
    </x:fill>
    <x:fill>
      <x:patternFill patternType="solid">
        <x:fgColor rgb="FF5B9BD5"/>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0" fillId="3" borderId="0" xfId="0" applyNumberFormat="1" applyFont="1" applyFill="1" applyBorder="1" applyAlignment="1">
      <x:alignment wrapText="1"/>
    </x:xf>
    <x:xf numFmtId="0" fontId="1"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1" fillId="3" borderId="1" xfId="0" applyNumberFormat="1" applyFont="1" applyFill="1" applyBorder="1" applyAlignment="1">
      <x:alignment wrapText="1"/>
    </x:xf>
  </x:cellXfs>
  <x:cellStyles count="1">
    <x:cellStyle name="Normal" xfId="0"/>
  </x:cellStyles>
  <x:dxfs count="5">
    <x:dxf>
      <x:font>
        <x:color rgb="FF274E13"/>
      </x:font>
      <x:fill>
        <x:patternFill patternType="solid">
          <x:bgColor rgb="FFD9EAD3"/>
        </x:patternFill>
      </x:fill>
    </x:dxf>
    <x:dxf>
      <x:font>
        <x:color rgb="FF990000"/>
      </x:font>
      <x:fill>
        <x:patternFill patternType="solid">
          <x:bgColor rgb="FFF4CCCC"/>
        </x:patternFill>
      </x:fill>
    </x:dxf>
    <x:dxf>
      <x:font>
        <x:color rgb="FF783F04"/>
      </x:font>
      <x:fill>
        <x:patternFill patternType="solid">
          <x:bgColor rgb="FFFCE5CD"/>
        </x:patternFill>
      </x:fill>
    </x:dxf>
    <x:dxf>
      <x:fill>
        <x:patternFill patternType="solid">
          <x:bgColor rgb="FFFCE5CD"/>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1c6ee9806e43ab" /><Relationship Type="http://schemas.openxmlformats.org/officeDocument/2006/relationships/theme" Target="/xl/theme/theme1.xml" Id="Ree0d5ecf4ae64839" /><Relationship Type="http://schemas.openxmlformats.org/officeDocument/2006/relationships/sharedStrings" Target="/xl/sharedStrings.xml" Id="R546d937b74404031" /><Relationship Type="http://schemas.openxmlformats.org/officeDocument/2006/relationships/worksheet" Target="/xl/worksheets/sheet1.xml" Id="Ra406d351949b4c97" /><Relationship Type="http://schemas.openxmlformats.org/officeDocument/2006/relationships/worksheet" Target="/xl/worksheets/sheet2.xml" Id="Rf10ab3d94a9b438a" /><Relationship Type="http://schemas.openxmlformats.org/officeDocument/2006/relationships/worksheet" Target="/xl/worksheets/sheet3.xml" Id="R71ab4013652d4138" /><Relationship Type="http://schemas.openxmlformats.org/officeDocument/2006/relationships/worksheet" Target="/xl/worksheets/sheet4.xml" Id="R4a72ea43b53a4e0f" /><Relationship Type="http://schemas.openxmlformats.org/officeDocument/2006/relationships/worksheet" Target="/xl/worksheets/sheet5.xml" Id="R3b9ddbcc68e04022" /><Relationship Type="http://schemas.openxmlformats.org/officeDocument/2006/relationships/worksheet" Target="/xl/worksheets/sheet6.xml" Id="Rfdcac749ee2244ff" /></Relationships>
</file>

<file path=xl/drawings/_rels/drawing1.xml.rels>&#65279;<?xml version="1.0" encoding="utf-8"?><Relationships xmlns="http://schemas.openxmlformats.org/package/2006/relationships"><Relationship Type="http://schemas.openxmlformats.org/officeDocument/2006/relationships/chart" Target="/xl/drawings/charts/chart1.xml" Id="R287c7ffd9d224a6e"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Test Case Count</c:v>
          </c:tx>
          <c:cat>
            <c:strRef>
              <c:f>'Summary'!$A$13:$A$22</c:f>
              <c:strCache>
                <c:ptCount val="0"/>
              </c:strCache>
            </c:strRef>
          </c:cat>
          <c:val>
            <c:numRef>
              <c:f>'Summary'!$B$13:$B$22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7c7ffd9d224a6e"/>
        </a:graphicData>
      </a:graphic>
    </xdr:graphicFrame>
    <xdr:clientData/>
  </xdr:twoCellAnchor>
</xdr:wsDr>
</file>

<file path=xl/tables/table1.xml><?xml version="1.0" encoding="utf-8"?>
<x:table xmlns:x="http://schemas.openxmlformats.org/spreadsheetml/2006/main" id="1" name="RAGTestCasesTable" displayName="RAGTestCasesTable" ref="A1:U141" headerRowCount="1">
  <x:tableColumns count="21">
    <x:tableColumn id="1" name="Test Case ID"/>
    <x:tableColumn id="2" name="Related Scenario ID"/>
    <x:tableColumn id="3" name="RAG Category"/>
    <x:tableColumn id="4" name="Test Case Title"/>
    <x:tableColumn id="5" name="Objective"/>
    <x:tableColumn id="6" name="Preconditions"/>
    <x:tableColumn id="7" name="Test Documents"/>
    <x:tableColumn id="8" name="Prompt"/>
    <x:tableColumn id="9" name="Test Steps"/>
    <x:tableColumn id="10" name="Expected Result"/>
    <x:tableColumn id="11" name="RAG Validation Criteria"/>
    <x:tableColumn id="12" name="Correct Document Retrieved"/>
    <x:tableColumn id="13" name="Correct Citation Generated"/>
    <x:tableColumn id="14" name="Grounded Response"/>
    <x:tableColumn id="15" name="Hallucination Prevented"/>
    <x:tableColumn id="16" name="Source Attribution Correct"/>
    <x:tableColumn id="17" name="Missing Information Handled Correctly"/>
    <x:tableColumn id="18" name="Actual Result"/>
    <x:tableColumn id="19" name="Status"/>
    <x:tableColumn id="20" name="Priority"/>
    <x:tableColumn id="21" name="Severity"/>
  </x:tableColumns>
  <x:tableStyleInfo name="TableStyleMedium2" showRowStripes="1"/>
</x:table>
</file>

<file path=xl/tables/table2.xml><?xml version="1.0" encoding="utf-8"?>
<x:table xmlns:x="http://schemas.openxmlformats.org/spreadsheetml/2006/main" id="2" name="CategorySummaryTable" displayName="CategorySummaryTable" ref="A12:B22" headerRowCount="1">
  <x:tableColumns count="2">
    <x:tableColumn id="1" name="RAG Category"/>
    <x:tableColumn id="2" name="Test Case Count"/>
  </x:tableColumns>
  <x:tableStyleInfo name="TableStyleMedium2" showRowStripes="1"/>
</x:table>
</file>

<file path=xl/tables/table3.xml><?xml version="1.0" encoding="utf-8"?>
<x:table xmlns:x="http://schemas.openxmlformats.org/spreadsheetml/2006/main" id="3" name="ScenarioSummaryTable" displayName="ScenarioSummaryTable" ref="A27:C32" headerRowCount="1">
  <x:tableColumns count="3">
    <x:tableColumn id="1" name="Scenario ID"/>
    <x:tableColumn id="2" name="Scenario Name"/>
    <x:tableColumn id="3" name="Test Case Count"/>
  </x:tableColumns>
  <x:tableStyleInfo name="TableStyleMedium2" showRowStripes="1"/>
</x:table>
</file>

<file path=xl/tables/table4.xml><?xml version="1.0" encoding="utf-8"?>
<x:table xmlns:x="http://schemas.openxmlformats.org/spreadsheetml/2006/main" id="4" name="ScenarioMappingTable" displayName="ScenarioMappingTable" ref="A1:D6" headerRowCount="1">
  <x:tableColumns count="4">
    <x:tableColumn id="1" name="Scenario ID"/>
    <x:tableColumn id="2" name="Scenario Name"/>
    <x:tableColumn id="3" name="Primary RAG Categories Covered"/>
    <x:tableColumn id="4" name="Test Case ID Range"/>
  </x:tableColumns>
  <x:tableStyleInfo name="TableStyleMedium2" showRowStripes="1"/>
</x:table>
</file>

<file path=xl/tables/table5.xml><?xml version="1.0" encoding="utf-8"?>
<x:table xmlns:x="http://schemas.openxmlformats.org/spreadsheetml/2006/main" id="5" name="RAGCriteriaTable" displayName="RAGCriteriaTable" ref="A1:C7" headerRowCount="1">
  <x:tableColumns count="3">
    <x:tableColumn id="1" name="Criterion"/>
    <x:tableColumn id="2" name="Validation Question"/>
    <x:tableColumn id="3" name="Pass Expectation"/>
  </x:tableColumns>
  <x:tableStyleInfo name="TableStyleMedium2" showRowStripes="1"/>
</x:table>
</file>

<file path=xl/tables/table6.xml><?xml version="1.0" encoding="utf-8"?>
<x:table xmlns:x="http://schemas.openxmlformats.org/spreadsheetml/2006/main" id="6" name="TestDocumentsTable" displayName="TestDocumentsTable" ref="A1:D14" headerRowCount="1">
  <x:tableColumns count="4">
    <x:tableColumn id="1" name="Document Name"/>
    <x:tableColumn id="2" name="Document Type"/>
    <x:tableColumn id="3" name="Purpose in RAG Testing"/>
    <x:tableColumn id="4" name="Recommended Content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42a124728f04571" /></Relationships>
</file>

<file path=xl/worksheets/_rels/sheet2.xml.rels>&#65279;<?xml version="1.0" encoding="utf-8"?><Relationships xmlns="http://schemas.openxmlformats.org/package/2006/relationships"><Relationship Type="http://schemas.openxmlformats.org/officeDocument/2006/relationships/drawing" Target="/xl/drawings/drawing1.xml" Id="R95229f9f7b16439a" /><Relationship Type="http://schemas.openxmlformats.org/officeDocument/2006/relationships/table" Target="/xl/tables/table2.xml" Id="R95fec234c9704ead" /><Relationship Type="http://schemas.openxmlformats.org/officeDocument/2006/relationships/table" Target="/xl/tables/table3.xml" Id="R139bc2ae14544744" /></Relationships>
</file>

<file path=xl/worksheets/_rels/sheet3.xml.rels>&#65279;<?xml version="1.0" encoding="utf-8"?><Relationships xmlns="http://schemas.openxmlformats.org/package/2006/relationships"><Relationship Type="http://schemas.openxmlformats.org/officeDocument/2006/relationships/table" Target="/xl/tables/table4.xml" Id="R6ce1f0acba504365" /></Relationships>
</file>

<file path=xl/worksheets/_rels/sheet4.xml.rels>&#65279;<?xml version="1.0" encoding="utf-8"?><Relationships xmlns="http://schemas.openxmlformats.org/package/2006/relationships"><Relationship Type="http://schemas.openxmlformats.org/officeDocument/2006/relationships/table" Target="/xl/tables/table5.xml" Id="R3d549a798a5b4341" /></Relationships>
</file>

<file path=xl/worksheets/_rels/sheet5.xml.rels>&#65279;<?xml version="1.0" encoding="utf-8"?><Relationships xmlns="http://schemas.openxmlformats.org/package/2006/relationships"><Relationship Type="http://schemas.openxmlformats.org/officeDocument/2006/relationships/table" Target="/xl/tables/table6.xml" Id="Rb7cef666c8614665" /></Relationships>
</file>

<file path=xl/worksheets/sheet1.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36" hidden="0" customWidth="1"/>
    <x:col min="5" max="5" width="44" hidden="0" customWidth="1"/>
    <x:col min="6" max="6" width="38" hidden="0" customWidth="1"/>
    <x:col min="7" max="7" width="42" hidden="0" customWidth="1"/>
    <x:col min="8" max="8" width="48" hidden="0" customWidth="1"/>
    <x:col min="9" max="9" width="52" hidden="0" customWidth="1"/>
    <x:col min="10" max="10" width="52" hidden="0" customWidth="1"/>
    <x:col min="11" max="11" width="48" hidden="0" customWidth="1"/>
    <x:col min="12" max="12" width="20" hidden="0" customWidth="1"/>
    <x:col min="13" max="13" width="20" hidden="0" customWidth="1"/>
    <x:col min="14" max="14" width="18" hidden="0" customWidth="1"/>
    <x:col min="15" max="15" width="20" hidden="0" customWidth="1"/>
    <x:col min="16" max="16" width="22" hidden="0" customWidth="1"/>
    <x:col min="17" max="17" width="28" hidden="0" customWidth="1"/>
    <x:col min="18" max="18" width="32" hidden="0" customWidth="1"/>
    <x:col min="19" max="19" width="16" hidden="0" customWidth="1"/>
    <x:col min="20" max="20" width="12" hidden="0" customWidth="1"/>
    <x:col min="21" max="21" width="12" hidden="0" customWidth="1"/>
  </x:cols>
  <x:sheetData>
    <x:row r="1" ht="34" customHeight="1">
      <x:c r="A1" s="6" t="str">
        <x:v>Test Case ID</x:v>
      </x:c>
      <x:c r="B1" s="6" t="str">
        <x:v>Related Scenario ID</x:v>
      </x:c>
      <x:c r="C1" s="6" t="str">
        <x:v>RAG Category</x:v>
      </x:c>
      <x:c r="D1" s="6" t="str">
        <x:v>Test Case Title</x:v>
      </x:c>
      <x:c r="E1" s="6" t="str">
        <x:v>Objective</x:v>
      </x:c>
      <x:c r="F1" s="6" t="str">
        <x:v>Preconditions</x:v>
      </x:c>
      <x:c r="G1" s="6" t="str">
        <x:v>Test Documents</x:v>
      </x:c>
      <x:c r="H1" s="6" t="str">
        <x:v>Prompt</x:v>
      </x:c>
      <x:c r="I1" s="6" t="str">
        <x:v>Test Steps</x:v>
      </x:c>
      <x:c r="J1" s="6" t="str">
        <x:v>Expected Result</x:v>
      </x:c>
      <x:c r="K1" s="6" t="str">
        <x:v>RAG Validation Criteria</x:v>
      </x:c>
      <x:c r="L1" s="6" t="str">
        <x:v>Correct Document Retrieved</x:v>
      </x:c>
      <x:c r="M1" s="6" t="str">
        <x:v>Correct Citation Generated</x:v>
      </x:c>
      <x:c r="N1" s="6" t="str">
        <x:v>Grounded Response</x:v>
      </x:c>
      <x:c r="O1" s="6" t="str">
        <x:v>Hallucination Prevented</x:v>
      </x:c>
      <x:c r="P1" s="6" t="str">
        <x:v>Source Attribution Correct</x:v>
      </x:c>
      <x:c r="Q1" s="6" t="str">
        <x:v>Missing Information Handled Correctly</x:v>
      </x:c>
      <x:c r="R1" s="6" t="str">
        <x:v>Actual Result</x:v>
      </x:c>
      <x:c r="S1" s="6" t="str">
        <x:v>Status</x:v>
      </x:c>
      <x:c r="T1" s="6" t="str">
        <x:v>Priority</x:v>
      </x:c>
      <x:c r="U1" s="6" t="str">
        <x:v>Severity</x:v>
      </x:c>
    </x:row>
    <x:row r="2" ht="92" customHeight="1">
      <x:c r="A2" s="14" t="str">
        <x:v>OWUI-RAG-TC-001</x:v>
      </x:c>
      <x:c r="B2" s="14" t="str">
        <x:v>OWUI-TS-041</x:v>
      </x:c>
      <x:c r="C2" s="14" t="str">
        <x:v>Grounded Response Validation</x:v>
      </x:c>
      <x:c r="D2" s="14" t="str">
        <x:v>Validate answer for explicit policy owner</x:v>
      </x:c>
      <x:c r="E2" s="14" t="str">
        <x:v>Verify that the AI answers using an explicitly stated policy owner from the document.</x:v>
      </x:c>
      <x:c r="F2" s="14" t="str">
        <x:v>Open WebUI is accessible. User is logged in. RAG/Knowledge Base and document upload features are enabled. Required test documents are available.</x:v>
      </x:c>
      <x:c r="G2" s="14" t="str">
        <x:v>Enterprise Security Policy v2.1 PDF</x:v>
      </x:c>
      <x:c r="H2" s="14" t="str">
        <x:v>According to the Enterprise Security Policy, who owns access review governance?</x:v>
      </x:c>
      <x:c r="I2" s="14" t="str">
        <x:v>1. Login to Open WebUI with a valid test user account.
2. Start a new chat or RAG-enabled knowledge base session.
3. Upload or select test document set: Enterprise Security Policy v2.1 PDF.
4. Submit the prompt.
5. Review the generated answer, retrieved sources, citations, and source snippets if displayed.
6. Compare the response against the source documents and record observations.</x:v>
      </x:c>
      <x:c r="J2" s="14" t="str">
        <x:v>AI should retrieve the Enterprise Security Policy and answer only with the owner stated in the policy. It should include a citation or section reference when supported and must not infer another owner.</x:v>
      </x:c>
      <x:c r="K2" s="14" t="str">
        <x:v>Validate: Correct Document Retrieved (Yes/No); Correct Citation Generated (Yes/No); Grounded Response (Yes/No); Hallucination Prevented (Yes/No); Source Attribution Correct (Yes/No); Missing Information Handled Correctly (Yes/No).</x:v>
      </x:c>
      <x:c r="L2" s="14" t="str"/>
      <x:c r="M2" s="14" t="str"/>
      <x:c r="N2" s="14" t="str"/>
      <x:c r="O2" s="14" t="str"/>
      <x:c r="P2" s="14" t="str"/>
      <x:c r="Q2" s="14" t="str"/>
      <x:c r="R2" s="14" t="str"/>
      <x:c r="S2" s="14" t="str">
        <x:v>Not Executed</x:v>
      </x:c>
      <x:c r="T2" s="14" t="str">
        <x:v>High</x:v>
      </x:c>
      <x:c r="U2" s="14" t="str">
        <x:v>High</x:v>
      </x:c>
    </x:row>
    <x:row r="3" ht="92" customHeight="1">
      <x:c r="A3" s="14" t="str">
        <x:v>OWUI-RAG-TC-002</x:v>
      </x:c>
      <x:c r="B3" s="14" t="str">
        <x:v>OWUI-TS-041</x:v>
      </x:c>
      <x:c r="C3" s="14" t="str">
        <x:v>Grounded Response Validation</x:v>
      </x:c>
      <x:c r="D3" s="14" t="str">
        <x:v>Validate answer for partially available procedure</x:v>
      </x:c>
      <x:c r="E3" s="14" t="str">
        <x:v>Verify that the AI only answers the procedure steps present in the source and does not add missing steps.</x:v>
      </x:c>
      <x:c r="F3" s="14" t="str">
        <x:v>Open WebUI is accessible. User is logged in. RAG/Knowledge Base and document upload features are enabled. Required test documents are available.</x:v>
      </x:c>
      <x:c r="G3" s="14" t="str">
        <x:v>HR Leave Policy PDF</x:v>
      </x:c>
      <x:c r="H3" s="14" t="str">
        <x:v>What steps are listed for submitting annual leave? Include only steps found in the document.</x:v>
      </x:c>
      <x:c r="I3" s="14" t="str">
        <x:v>1. Login to Open WebUI with a valid test user account.
2. Start a new chat or RAG-enabled knowledge base session.
3. Upload or select test document set: HR Leave Policy PDF.
4. Submit the prompt.
5. Review the generated answer, retrieved sources, citations, and source snippets if displayed.
6. Compare the response against the source documents and record observations.</x:v>
      </x:c>
      <x:c r="J3" s="14" t="str">
        <x:v>AI should provide the documented leave submission steps and explicitly avoid adding undocumented steps. It should cite the relevant section if citations are supported.</x:v>
      </x:c>
      <x:c r="K3" s="14" t="str">
        <x:v>Validate: Correct Document Retrieved (Yes/No); Correct Citation Generated (Yes/No); Grounded Response (Yes/No); Hallucination Prevented (Yes/No); Source Attribution Correct (Yes/No); Missing Information Handled Correctly (Yes/No).</x:v>
      </x:c>
      <x:c r="L3" s="14" t="str"/>
      <x:c r="M3" s="14" t="str"/>
      <x:c r="N3" s="14" t="str"/>
      <x:c r="O3" s="14" t="str"/>
      <x:c r="P3" s="14" t="str"/>
      <x:c r="Q3" s="14" t="str"/>
      <x:c r="R3" s="14" t="str"/>
      <x:c r="S3" s="14" t="str">
        <x:v>Not Executed</x:v>
      </x:c>
      <x:c r="T3" s="14" t="str">
        <x:v>High</x:v>
      </x:c>
      <x:c r="U3" s="14" t="str">
        <x:v>High</x:v>
      </x:c>
    </x:row>
    <x:row r="4" ht="92" customHeight="1">
      <x:c r="A4" s="14" t="str">
        <x:v>OWUI-RAG-TC-003</x:v>
      </x:c>
      <x:c r="B4" s="14" t="str">
        <x:v>OWUI-TS-041</x:v>
      </x:c>
      <x:c r="C4" s="14" t="str">
        <x:v>Grounded Response Validation</x:v>
      </x:c>
      <x:c r="D4" s="14" t="str">
        <x:v>Validate answer spread across multiple sections</x:v>
      </x:c>
      <x:c r="E4" s="14" t="str">
        <x:v>Verify that the AI combines relevant details from two sections of the same document without losing grounding.</x:v>
      </x:c>
      <x:c r="F4" s="14" t="str">
        <x:v>Open WebUI is accessible. User is logged in. RAG/Knowledge Base and document upload features are enabled. Required test documents are available.</x:v>
      </x:c>
      <x:c r="G4" s="14" t="str">
        <x:v>Incident Management SOP DOCX</x:v>
      </x:c>
      <x:c r="H4" s="14" t="str">
        <x:v>Summarize the incident escalation process using the severity classification and escalation sections.</x:v>
      </x:c>
      <x:c r="I4" s="14" t="str">
        <x:v>1. Login to Open WebUI with a valid test user account.
2. Start a new chat or RAG-enabled knowledge base session.
3. Upload or select test document set: Incident Management SOP DOCX.
4. Submit the prompt.
5. Review the generated answer, retrieved sources, citations, and source snippets if displayed.
6. Compare the response against the source documents and record observations.</x:v>
      </x:c>
      <x:c r="J4" s="14" t="str">
        <x:v>AI should retrieve both relevant sections and produce a grounded summary. It should not add escalation levels or SLAs that are not present.</x:v>
      </x:c>
      <x:c r="K4" s="14" t="str">
        <x:v>Validate: Correct Document Retrieved (Yes/No); Correct Citation Generated (Yes/No); Grounded Response (Yes/No); Hallucination Prevented (Yes/No); Source Attribution Correct (Yes/No); Missing Information Handled Correctly (Yes/No).</x:v>
      </x:c>
      <x:c r="L4" s="14" t="str"/>
      <x:c r="M4" s="14" t="str"/>
      <x:c r="N4" s="14" t="str"/>
      <x:c r="O4" s="14" t="str"/>
      <x:c r="P4" s="14" t="str"/>
      <x:c r="Q4" s="14" t="str"/>
      <x:c r="R4" s="14" t="str"/>
      <x:c r="S4" s="14" t="str">
        <x:v>Not Executed</x:v>
      </x:c>
      <x:c r="T4" s="14" t="str">
        <x:v>High</x:v>
      </x:c>
      <x:c r="U4" s="14" t="str">
        <x:v>High</x:v>
      </x:c>
    </x:row>
    <x:row r="5" ht="92" customHeight="1">
      <x:c r="A5" s="14" t="str">
        <x:v>OWUI-RAG-TC-004</x:v>
      </x:c>
      <x:c r="B5" s="14" t="str">
        <x:v>OWUI-TS-041</x:v>
      </x:c>
      <x:c r="C5" s="14" t="str">
        <x:v>Grounded Response Validation</x:v>
      </x:c>
      <x:c r="D5" s="14" t="str">
        <x:v>Validate grounded answer from table value</x:v>
      </x:c>
      <x:c r="E5" s="14" t="str">
        <x:v>Verify that the AI retrieves a numeric threshold from a table accurately.</x:v>
      </x:c>
      <x:c r="F5" s="14" t="str">
        <x:v>Open WebUI is accessible. User is logged in. RAG/Knowledge Base and document upload features are enabled. Required test documents are available.</x:v>
      </x:c>
      <x:c r="G5" s="14" t="str">
        <x:v>Password Policy PDF with control table</x:v>
      </x:c>
      <x:c r="H5" s="14" t="str">
        <x:v>What is the minimum password length listed in the password control table?</x:v>
      </x:c>
      <x:c r="I5" s="14" t="str">
        <x:v>1. Login to Open WebUI with a valid test user account.
2. Start a new chat or RAG-enabled knowledge base session.
3. Upload or select test document set: Password Policy PDF with control table.
4. Submit the prompt.
5. Review the generated answer, retrieved sources, citations, and source snippets if displayed.
6. Compare the response against the source documents and record observations.</x:v>
      </x:c>
      <x:c r="J5" s="14" t="str">
        <x:v>AI should return the exact minimum password length from the table and cite the table, page, or section if available.</x:v>
      </x:c>
      <x:c r="K5" s="14" t="str">
        <x:v>Validate: Correct Document Retrieved (Yes/No); Correct Citation Generated (Yes/No); Grounded Response (Yes/No); Hallucination Prevented (Yes/No); Source Attribution Correct (Yes/No); Missing Information Handled Correctly (Yes/No).</x:v>
      </x:c>
      <x:c r="L5" s="14" t="str"/>
      <x:c r="M5" s="14" t="str"/>
      <x:c r="N5" s="14" t="str"/>
      <x:c r="O5" s="14" t="str"/>
      <x:c r="P5" s="14" t="str"/>
      <x:c r="Q5" s="14" t="str"/>
      <x:c r="R5" s="14" t="str"/>
      <x:c r="S5" s="14" t="str">
        <x:v>Not Executed</x:v>
      </x:c>
      <x:c r="T5" s="14" t="str">
        <x:v>High</x:v>
      </x:c>
      <x:c r="U5" s="14" t="str">
        <x:v>High</x:v>
      </x:c>
    </x:row>
    <x:row r="6" ht="92" customHeight="1">
      <x:c r="A6" s="14" t="str">
        <x:v>OWUI-RAG-TC-005</x:v>
      </x:c>
      <x:c r="B6" s="14" t="str">
        <x:v>OWUI-TS-041</x:v>
      </x:c>
      <x:c r="C6" s="14" t="str">
        <x:v>Grounded Response Validation</x:v>
      </x:c>
      <x:c r="D6" s="14" t="str">
        <x:v>Validate grounded answer from glossary definition</x:v>
      </x:c>
      <x:c r="E6" s="14" t="str">
        <x:v>Verify that the AI uses a glossary definition as the source for the answer.</x:v>
      </x:c>
      <x:c r="F6" s="14" t="str">
        <x:v>Open WebUI is accessible. User is logged in. RAG/Knowledge Base and document upload features are enabled. Required test documents are available.</x:v>
      </x:c>
      <x:c r="G6" s="14" t="str">
        <x:v>Data Governance Handbook PDF</x:v>
      </x:c>
      <x:c r="H6" s="14" t="str">
        <x:v>How does the document define sensitive personal data?</x:v>
      </x:c>
      <x:c r="I6" s="14" t="str">
        <x:v>1. Login to Open WebUI with a valid test user account.
2. Start a new chat or RAG-enabled knowledge base session.
3. Upload or select test document set: Data Governance Handbook PDF.
4. Submit the prompt.
5. Review the generated answer, retrieved sources, citations, and source snippets if displayed.
6. Compare the response against the source documents and record observations.</x:v>
      </x:c>
      <x:c r="J6" s="14" t="str">
        <x:v>AI should answer using the glossary or definition section and avoid adding broad legal definitions not present in the document.</x:v>
      </x:c>
      <x:c r="K6" s="14" t="str">
        <x:v>Validate: Correct Document Retrieved (Yes/No); Correct Citation Generated (Yes/No); Grounded Response (Yes/No); Hallucination Prevented (Yes/No); Source Attribution Correct (Yes/No); Missing Information Handled Correctly (Yes/No).</x:v>
      </x:c>
      <x:c r="L6" s="14" t="str"/>
      <x:c r="M6" s="14" t="str"/>
      <x:c r="N6" s="14" t="str"/>
      <x:c r="O6" s="14" t="str"/>
      <x:c r="P6" s="14" t="str"/>
      <x:c r="Q6" s="14" t="str"/>
      <x:c r="R6" s="14" t="str"/>
      <x:c r="S6" s="14" t="str">
        <x:v>Not Executed</x:v>
      </x:c>
      <x:c r="T6" s="14" t="str">
        <x:v>High</x:v>
      </x:c>
      <x:c r="U6" s="14" t="str">
        <x:v>High</x:v>
      </x:c>
    </x:row>
    <x:row r="7" ht="92" customHeight="1">
      <x:c r="A7" s="14" t="str">
        <x:v>OWUI-RAG-TC-006</x:v>
      </x:c>
      <x:c r="B7" s="14" t="str">
        <x:v>OWUI-TS-041</x:v>
      </x:c>
      <x:c r="C7" s="14" t="str">
        <x:v>Grounded Response Validation</x:v>
      </x:c>
      <x:c r="D7" s="14" t="str">
        <x:v>Validate grounded answer from appendix</x:v>
      </x:c>
      <x:c r="E7" s="14" t="str">
        <x:v>Verify that the AI retrieves information from an appendix rather than the main body when the answer is located there.</x:v>
      </x:c>
      <x:c r="F7" s="14" t="str">
        <x:v>Open WebUI is accessible. User is logged in. RAG/Knowledge Base and document upload features are enabled. Required test documents are available.</x:v>
      </x:c>
      <x:c r="G7" s="14" t="str">
        <x:v>Vendor Risk Assessment Guide PDF with Appendix A</x:v>
      </x:c>
      <x:c r="H7" s="14" t="str">
        <x:v>What vendor risk rating levels are listed in Appendix A?</x:v>
      </x:c>
      <x:c r="I7" s="14" t="str">
        <x:v>1. Login to Open WebUI with a valid test user account.
2. Start a new chat or RAG-enabled knowledge base session.
3. Upload or select test document set: Vendor Risk Assessment Guide PDF with Appendix A.
4. Submit the prompt.
5. Review the generated answer, retrieved sources, citations, and source snippets if displayed.
6. Compare the response against the source documents and record observations.</x:v>
      </x:c>
      <x:c r="J7" s="14" t="str">
        <x:v>AI should retrieve Appendix A and list only the risk rating levels present there. Citation should point to the appendix where supported.</x:v>
      </x:c>
      <x:c r="K7" s="14" t="str">
        <x:v>Validate: Correct Document Retrieved (Yes/No); Correct Citation Generated (Yes/No); Grounded Response (Yes/No); Hallucination Prevented (Yes/No); Source Attribution Correct (Yes/No); Missing Information Handled Correctly (Yes/No).</x:v>
      </x:c>
      <x:c r="L7" s="14" t="str"/>
      <x:c r="M7" s="14" t="str"/>
      <x:c r="N7" s="14" t="str"/>
      <x:c r="O7" s="14" t="str"/>
      <x:c r="P7" s="14" t="str"/>
      <x:c r="Q7" s="14" t="str"/>
      <x:c r="R7" s="14" t="str"/>
      <x:c r="S7" s="14" t="str">
        <x:v>Not Executed</x:v>
      </x:c>
      <x:c r="T7" s="14" t="str">
        <x:v>High</x:v>
      </x:c>
      <x:c r="U7" s="14" t="str">
        <x:v>High</x:v>
      </x:c>
    </x:row>
    <x:row r="8" ht="92" customHeight="1">
      <x:c r="A8" s="14" t="str">
        <x:v>OWUI-RAG-TC-007</x:v>
      </x:c>
      <x:c r="B8" s="14" t="str">
        <x:v>OWUI-TS-041</x:v>
      </x:c>
      <x:c r="C8" s="14" t="str">
        <x:v>Grounded Response Validation</x:v>
      </x:c>
      <x:c r="D8" s="14" t="str">
        <x:v>Validate grounded answer for policy exception rule</x:v>
      </x:c>
      <x:c r="E8" s="14" t="str">
        <x:v>Verify that the AI identifies exception handling language exactly from the document.</x:v>
      </x:c>
      <x:c r="F8" s="14" t="str">
        <x:v>Open WebUI is accessible. User is logged in. RAG/Knowledge Base and document upload features are enabled. Required test documents are available.</x:v>
      </x:c>
      <x:c r="G8" s="14" t="str">
        <x:v>Acceptable Use Policy DOCX</x:v>
      </x:c>
      <x:c r="H8" s="14" t="str">
        <x:v>What does the policy say about requesting exceptions to restricted software usage?</x:v>
      </x:c>
      <x:c r="I8" s="14" t="str">
        <x:v>1. Login to Open WebUI with a valid test user account.
2. Start a new chat or RAG-enabled knowledge base session.
3. Upload or select test document set: Acceptable Use Policy DOCX.
4. Submit the prompt.
5. Review the generated answer, retrieved sources, citations, and source snippets if displayed.
6. Compare the response against the source documents and record observations.</x:v>
      </x:c>
      <x:c r="J8" s="14" t="str">
        <x:v>AI should answer using the exception process described in the policy and avoid inventing approval paths.</x:v>
      </x:c>
      <x:c r="K8" s="14" t="str">
        <x:v>Validate: Correct Document Retrieved (Yes/No); Correct Citation Generated (Yes/No); Grounded Response (Yes/No); Hallucination Prevented (Yes/No); Source Attribution Correct (Yes/No); Missing Information Handled Correctly (Yes/No).</x:v>
      </x:c>
      <x:c r="L8" s="14" t="str"/>
      <x:c r="M8" s="14" t="str"/>
      <x:c r="N8" s="14" t="str"/>
      <x:c r="O8" s="14" t="str"/>
      <x:c r="P8" s="14" t="str"/>
      <x:c r="Q8" s="14" t="str"/>
      <x:c r="R8" s="14" t="str"/>
      <x:c r="S8" s="14" t="str">
        <x:v>Not Executed</x:v>
      </x:c>
      <x:c r="T8" s="14" t="str">
        <x:v>High</x:v>
      </x:c>
      <x:c r="U8" s="14" t="str">
        <x:v>High</x:v>
      </x:c>
    </x:row>
    <x:row r="9" ht="92" customHeight="1">
      <x:c r="A9" s="14" t="str">
        <x:v>OWUI-RAG-TC-008</x:v>
      </x:c>
      <x:c r="B9" s="14" t="str">
        <x:v>OWUI-TS-041</x:v>
      </x:c>
      <x:c r="C9" s="14" t="str">
        <x:v>Grounded Response Validation</x:v>
      </x:c>
      <x:c r="D9" s="14" t="str">
        <x:v>Validate grounded response for release note change</x:v>
      </x:c>
      <x:c r="E9" s="14" t="str">
        <x:v>Verify that the AI retrieves a specific change from release notes.</x:v>
      </x:c>
      <x:c r="F9" s="14" t="str">
        <x:v>Open WebUI is accessible. User is logged in. RAG/Knowledge Base and document upload features are enabled. Required test documents are available.</x:v>
      </x:c>
      <x:c r="G9" s="14" t="str">
        <x:v>Open WebUI QA Release Notes v1.4 PDF</x:v>
      </x:c>
      <x:c r="H9" s="14" t="str">
        <x:v>What changed in the file upload workflow in version 1.4?</x:v>
      </x:c>
      <x:c r="I9" s="14" t="str">
        <x:v>1. Login to Open WebUI with a valid test user account.
2. Start a new chat or RAG-enabled knowledge base session.
3. Upload or select test document set: Open WebUI QA Release Notes v1.4 PDF.
4. Submit the prompt.
5. Review the generated answer, retrieved sources, citations, and source snippets if displayed.
6. Compare the response against the source documents and record observations.</x:v>
      </x:c>
      <x:c r="J9" s="14" t="str">
        <x:v>AI should answer based on the release note entry for version 1.4 and avoid generalizing from other versions.</x:v>
      </x:c>
      <x:c r="K9" s="14" t="str">
        <x:v>Validate: Correct Document Retrieved (Yes/No); Correct Citation Generated (Yes/No); Grounded Response (Yes/No); Hallucination Prevented (Yes/No); Source Attribution Correct (Yes/No); Missing Information Handled Correctly (Yes/No).</x:v>
      </x:c>
      <x:c r="L9" s="14" t="str"/>
      <x:c r="M9" s="14" t="str"/>
      <x:c r="N9" s="14" t="str"/>
      <x:c r="O9" s="14" t="str"/>
      <x:c r="P9" s="14" t="str"/>
      <x:c r="Q9" s="14" t="str"/>
      <x:c r="R9" s="14" t="str"/>
      <x:c r="S9" s="14" t="str">
        <x:v>Not Executed</x:v>
      </x:c>
      <x:c r="T9" s="14" t="str">
        <x:v>High</x:v>
      </x:c>
      <x:c r="U9" s="14" t="str">
        <x:v>High</x:v>
      </x:c>
    </x:row>
    <x:row r="10" ht="92" customHeight="1">
      <x:c r="A10" s="14" t="str">
        <x:v>OWUI-RAG-TC-009</x:v>
      </x:c>
      <x:c r="B10" s="14" t="str">
        <x:v>OWUI-TS-041</x:v>
      </x:c>
      <x:c r="C10" s="14" t="str">
        <x:v>Grounded Response Validation</x:v>
      </x:c>
      <x:c r="D10" s="14" t="str">
        <x:v>Validate grounded response for FAQ answer</x:v>
      </x:c>
      <x:c r="E10" s="14" t="str">
        <x:v>Verify that the AI answers from a FAQ document and maintains the source wording accurately.</x:v>
      </x:c>
      <x:c r="F10" s="14" t="str">
        <x:v>Open WebUI is accessible. User is logged in. RAG/Knowledge Base and document upload features are enabled. Required test documents are available.</x:v>
      </x:c>
      <x:c r="G10" s="14" t="str">
        <x:v>Open WebUI User FAQ PDF</x:v>
      </x:c>
      <x:c r="H10" s="14" t="str">
        <x:v>What does the FAQ say about resetting a forgotten password?</x:v>
      </x:c>
      <x:c r="I10"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10" s="14" t="str">
        <x:v>AI should retrieve the relevant FAQ item and provide an answer grounded in that FAQ. It should not invent alternate password reset workflows.</x:v>
      </x:c>
      <x:c r="K10" s="14" t="str">
        <x:v>Validate: Correct Document Retrieved (Yes/No); Correct Citation Generated (Yes/No); Grounded Response (Yes/No); Hallucination Prevented (Yes/No); Source Attribution Correct (Yes/No); Missing Information Handled Correctly (Yes/No).</x:v>
      </x:c>
      <x:c r="L10" s="14" t="str"/>
      <x:c r="M10" s="14" t="str"/>
      <x:c r="N10" s="14" t="str"/>
      <x:c r="O10" s="14" t="str"/>
      <x:c r="P10" s="14" t="str"/>
      <x:c r="Q10" s="14" t="str"/>
      <x:c r="R10" s="14" t="str"/>
      <x:c r="S10" s="14" t="str">
        <x:v>Not Executed</x:v>
      </x:c>
      <x:c r="T10" s="14" t="str">
        <x:v>High</x:v>
      </x:c>
      <x:c r="U10" s="14" t="str">
        <x:v>High</x:v>
      </x:c>
    </x:row>
    <x:row r="11" ht="92" customHeight="1">
      <x:c r="A11" s="14" t="str">
        <x:v>OWUI-RAG-TC-010</x:v>
      </x:c>
      <x:c r="B11" s="14" t="str">
        <x:v>OWUI-TS-041</x:v>
      </x:c>
      <x:c r="C11" s="14" t="str">
        <x:v>Grounded Response Validation</x:v>
      </x:c>
      <x:c r="D11" s="14" t="str">
        <x:v>Validate grounded response for risk statement</x:v>
      </x:c>
      <x:c r="E11" s="14" t="str">
        <x:v>Verify that the AI retrieves a stated risk from a risk register document.</x:v>
      </x:c>
      <x:c r="F11" s="14" t="str">
        <x:v>Open WebUI is accessible. User is logged in. RAG/Knowledge Base and document upload features are enabled. Required test documents are available.</x:v>
      </x:c>
      <x:c r="G11" s="14" t="str">
        <x:v>GenAI QA Risk Register XLSX/PDF Export</x:v>
      </x:c>
      <x:c r="H11" s="14" t="str">
        <x:v>Which risk is associated with unsupported citations in RAG responses?</x:v>
      </x:c>
      <x:c r="I11" s="14" t="str">
        <x:v>1. Login to Open WebUI with a valid test user account.
2. Start a new chat or RAG-enabled knowledge base session.
3. Upload or select test document set: GenAI QA Risk Register XLSX/PDF Export.
4. Submit the prompt.
5. Review the generated answer, retrieved sources, citations, and source snippets if displayed.
6. Compare the response against the source documents and record observations.</x:v>
      </x:c>
      <x:c r="J11" s="14" t="str">
        <x:v>AI should identify the relevant risk from the register and should not create new risks beyond the document.</x:v>
      </x:c>
      <x:c r="K11" s="14" t="str">
        <x:v>Validate: Correct Document Retrieved (Yes/No); Correct Citation Generated (Yes/No); Grounded Response (Yes/No); Hallucination Prevented (Yes/No); Source Attribution Correct (Yes/No); Missing Information Handled Correctly (Yes/No).</x:v>
      </x:c>
      <x:c r="L11" s="14" t="str"/>
      <x:c r="M11" s="14" t="str"/>
      <x:c r="N11" s="14" t="str"/>
      <x:c r="O11" s="14" t="str"/>
      <x:c r="P11" s="14" t="str"/>
      <x:c r="Q11" s="14" t="str"/>
      <x:c r="R11" s="14" t="str"/>
      <x:c r="S11" s="14" t="str">
        <x:v>Not Executed</x:v>
      </x:c>
      <x:c r="T11" s="14" t="str">
        <x:v>High</x:v>
      </x:c>
      <x:c r="U11" s="14" t="str">
        <x:v>High</x:v>
      </x:c>
    </x:row>
    <x:row r="12" ht="92" customHeight="1">
      <x:c r="A12" s="14" t="str">
        <x:v>OWUI-RAG-TC-011</x:v>
      </x:c>
      <x:c r="B12" s="14" t="str">
        <x:v>OWUI-TS-041</x:v>
      </x:c>
      <x:c r="C12" s="14" t="str">
        <x:v>Grounded Response Validation</x:v>
      </x:c>
      <x:c r="D12" s="14" t="str">
        <x:v>Validate grounded response for document summary</x:v>
      </x:c>
      <x:c r="E12" s="14" t="str">
        <x:v>Verify that the AI summarizes only source-supported content.</x:v>
      </x:c>
      <x:c r="F12" s="14" t="str">
        <x:v>Open WebUI is accessible. User is logged in. RAG/Knowledge Base and document upload features are enabled. Required test documents are available.</x:v>
      </x:c>
      <x:c r="G12" s="14" t="str">
        <x:v>Data Retention Policy PDF</x:v>
      </x:c>
      <x:c r="H12" s="14" t="str">
        <x:v>Summarize the document in five bullets and include only points supported by the policy.</x:v>
      </x:c>
      <x:c r="I12" s="14" t="str">
        <x:v>1. Login to Open WebUI with a valid test user account.
2. Start a new chat or RAG-enabled knowledge base session.
3. Upload or select test document set: Data Retention Policy PDF.
4. Submit the prompt.
5. Review the generated answer, retrieved sources, citations, and source snippets if displayed.
6. Compare the response against the source documents and record observations.</x:v>
      </x:c>
      <x:c r="J12" s="14" t="str">
        <x:v>AI should produce five grounded bullets based on the document and should not add retention rules absent from the policy.</x:v>
      </x:c>
      <x:c r="K12" s="14" t="str">
        <x:v>Validate: Correct Document Retrieved (Yes/No); Correct Citation Generated (Yes/No); Grounded Response (Yes/No); Hallucination Prevented (Yes/No); Source Attribution Correct (Yes/No); Missing Information Handled Correctly (Yes/No).</x:v>
      </x:c>
      <x:c r="L12" s="14" t="str"/>
      <x:c r="M12" s="14" t="str"/>
      <x:c r="N12" s="14" t="str"/>
      <x:c r="O12" s="14" t="str"/>
      <x:c r="P12" s="14" t="str"/>
      <x:c r="Q12" s="14" t="str"/>
      <x:c r="R12" s="14" t="str"/>
      <x:c r="S12" s="14" t="str">
        <x:v>Not Executed</x:v>
      </x:c>
      <x:c r="T12" s="14" t="str">
        <x:v>High</x:v>
      </x:c>
      <x:c r="U12" s="14" t="str">
        <x:v>High</x:v>
      </x:c>
    </x:row>
    <x:row r="13" ht="92" customHeight="1">
      <x:c r="A13" s="14" t="str">
        <x:v>OWUI-RAG-TC-012</x:v>
      </x:c>
      <x:c r="B13" s="14" t="str">
        <x:v>OWUI-TS-041</x:v>
      </x:c>
      <x:c r="C13" s="14" t="str">
        <x:v>Grounded Response Validation</x:v>
      </x:c>
      <x:c r="D13" s="14" t="str">
        <x:v>Validate grounded response for named stakeholder</x:v>
      </x:c>
      <x:c r="E13" s="14" t="str">
        <x:v>Verify that the AI retrieves the named stakeholder from the document.</x:v>
      </x:c>
      <x:c r="F13" s="14" t="str">
        <x:v>Open WebUI is accessible. User is logged in. RAG/Knowledge Base and document upload features are enabled. Required test documents are available.</x:v>
      </x:c>
      <x:c r="G13" s="14" t="str">
        <x:v>Project Charter - Open WebUI QA DOCX</x:v>
      </x:c>
      <x:c r="H13" s="14" t="str">
        <x:v>Who are the stakeholders listed for the Open WebUI QA project?</x:v>
      </x:c>
      <x:c r="I13" s="14" t="str">
        <x:v>1. Login to Open WebUI with a valid test user account.
2. Start a new chat or RAG-enabled knowledge base session.
3. Upload or select test document set: Project Charter - Open WebUI QA DOCX.
4. Submit the prompt.
5. Review the generated answer, retrieved sources, citations, and source snippets if displayed.
6. Compare the response against the source documents and record observations.</x:v>
      </x:c>
      <x:c r="J13" s="14" t="str">
        <x:v>AI should list only stakeholders present in the project charter and should not add common roles not present.</x:v>
      </x:c>
      <x:c r="K13" s="14" t="str">
        <x:v>Validate: Correct Document Retrieved (Yes/No); Correct Citation Generated (Yes/No); Grounded Response (Yes/No); Hallucination Prevented (Yes/No); Source Attribution Correct (Yes/No); Missing Information Handled Correctly (Yes/No).</x:v>
      </x:c>
      <x:c r="L13" s="14" t="str"/>
      <x:c r="M13" s="14" t="str"/>
      <x:c r="N13" s="14" t="str"/>
      <x:c r="O13" s="14" t="str"/>
      <x:c r="P13" s="14" t="str"/>
      <x:c r="Q13" s="14" t="str"/>
      <x:c r="R13" s="14" t="str"/>
      <x:c r="S13" s="14" t="str">
        <x:v>Not Executed</x:v>
      </x:c>
      <x:c r="T13" s="14" t="str">
        <x:v>High</x:v>
      </x:c>
      <x:c r="U13" s="14" t="str">
        <x:v>High</x:v>
      </x:c>
    </x:row>
    <x:row r="14" ht="92" customHeight="1">
      <x:c r="A14" s="14" t="str">
        <x:v>OWUI-RAG-TC-013</x:v>
      </x:c>
      <x:c r="B14" s="14" t="str">
        <x:v>OWUI-TS-041</x:v>
      </x:c>
      <x:c r="C14" s="14" t="str">
        <x:v>Grounded Response Validation</x:v>
      </x:c>
      <x:c r="D14" s="14" t="str">
        <x:v>Validate grounded answer for requirement ID</x:v>
      </x:c>
      <x:c r="E14" s="14" t="str">
        <x:v>Verify that the AI retrieves a requirement using a specific requirement identifier.</x:v>
      </x:c>
      <x:c r="F14" s="14" t="str">
        <x:v>Open WebUI is accessible. User is logged in. RAG/Knowledge Base and document upload features are enabled. Required test documents are available.</x:v>
      </x:c>
      <x:c r="G14" s="14" t="str">
        <x:v>Open WebUI Requirements Traceability Matrix PDF</x:v>
      </x:c>
      <x:c r="H14" s="14" t="str">
        <x:v>What does requirement OWUI-REQ-014 describe?</x:v>
      </x:c>
      <x:c r="I14" s="14" t="str">
        <x:v>1. Login to Open WebUI with a valid test user account.
2. Start a new chat or RAG-enabled knowledge base session.
3. Upload or select test document set: Open WebUI Requirements Traceability Matrix PDF.
4. Submit the prompt.
5. Review the generated answer, retrieved sources, citations, and source snippets if displayed.
6. Compare the response against the source documents and record observations.</x:v>
      </x:c>
      <x:c r="J14" s="14" t="str">
        <x:v>AI should return the exact requirement description associated with OWUI-REQ-014 and cite the RTM row or section where supported.</x:v>
      </x:c>
      <x:c r="K14" s="14" t="str">
        <x:v>Validate: Correct Document Retrieved (Yes/No); Correct Citation Generated (Yes/No); Grounded Response (Yes/No); Hallucination Prevented (Yes/No); Source Attribution Correct (Yes/No); Missing Information Handled Correctly (Yes/No).</x:v>
      </x:c>
      <x:c r="L14" s="14" t="str"/>
      <x:c r="M14" s="14" t="str"/>
      <x:c r="N14" s="14" t="str"/>
      <x:c r="O14" s="14" t="str"/>
      <x:c r="P14" s="14" t="str"/>
      <x:c r="Q14" s="14" t="str"/>
      <x:c r="R14" s="14" t="str"/>
      <x:c r="S14" s="14" t="str">
        <x:v>Not Executed</x:v>
      </x:c>
      <x:c r="T14" s="14" t="str">
        <x:v>High</x:v>
      </x:c>
      <x:c r="U14" s="14" t="str">
        <x:v>High</x:v>
      </x:c>
    </x:row>
    <x:row r="15" ht="92" customHeight="1">
      <x:c r="A15" s="14" t="str">
        <x:v>OWUI-RAG-TC-014</x:v>
      </x:c>
      <x:c r="B15" s="14" t="str">
        <x:v>OWUI-TS-041</x:v>
      </x:c>
      <x:c r="C15" s="14" t="str">
        <x:v>Grounded Response Validation</x:v>
      </x:c>
      <x:c r="D15" s="14" t="str">
        <x:v>Validate grounded response for partially matching query</x:v>
      </x:c>
      <x:c r="E15" s="14" t="str">
        <x:v>Verify that the AI does not over-answer when the document contains only partial information.</x:v>
      </x:c>
      <x:c r="F15" s="14" t="str">
        <x:v>Open WebUI is accessible. User is logged in. RAG/Knowledge Base and document upload features are enabled. Required test documents are available.</x:v>
      </x:c>
      <x:c r="G15" s="14" t="str">
        <x:v>Security Awareness Training Policy PDF</x:v>
      </x:c>
      <x:c r="H15" s="14" t="str">
        <x:v>What does the document say about phishing simulation frequency and pass/fail thresholds?</x:v>
      </x:c>
      <x:c r="I15" s="14" t="str">
        <x:v>1. Login to Open WebUI with a valid test user account.
2. Start a new chat or RAG-enabled knowledge base session.
3. Upload or select test document set: Security Awareness Training Policy PDF.
4. Submit the prompt.
5. Review the generated answer, retrieved sources, citations, and source snippets if displayed.
6. Compare the response against the source documents and record observations.</x:v>
      </x:c>
      <x:c r="J15" s="14" t="str">
        <x:v>AI should provide the frequency if present and state if pass/fail thresholds are not specified. It should not fabricate missing thresholds.</x:v>
      </x:c>
      <x:c r="K15" s="14" t="str">
        <x:v>Validate: Correct Document Retrieved (Yes/No); Correct Citation Generated (Yes/No); Grounded Response (Yes/No); Hallucination Prevented (Yes/No); Source Attribution Correct (Yes/No); Missing Information Handled Correctly (Yes/No).</x:v>
      </x:c>
      <x:c r="L15" s="14" t="str"/>
      <x:c r="M15" s="14" t="str"/>
      <x:c r="N15" s="14" t="str"/>
      <x:c r="O15" s="14" t="str"/>
      <x:c r="P15" s="14" t="str"/>
      <x:c r="Q15" s="14" t="str"/>
      <x:c r="R15" s="14" t="str"/>
      <x:c r="S15" s="14" t="str">
        <x:v>Not Executed</x:v>
      </x:c>
      <x:c r="T15" s="14" t="str">
        <x:v>High</x:v>
      </x:c>
      <x:c r="U15" s="14" t="str">
        <x:v>High</x:v>
      </x:c>
    </x:row>
    <x:row r="16" ht="92" customHeight="1">
      <x:c r="A16" s="14" t="str">
        <x:v>OWUI-RAG-TC-015</x:v>
      </x:c>
      <x:c r="B16" s="14" t="str">
        <x:v>OWUI-TS-042</x:v>
      </x:c>
      <x:c r="C16" s="14" t="str">
        <x:v>Citation Validation</x:v>
      </x:c>
      <x:c r="D16" s="14" t="str">
        <x:v>Validate correct citation for policy owner</x:v>
      </x:c>
      <x:c r="E16" s="14" t="str">
        <x:v>Verify that the citation supports the policy owner stated in the answer.</x:v>
      </x:c>
      <x:c r="F16" s="14" t="str">
        <x:v>Open WebUI is accessible. User is logged in. RAG/Knowledge Base and document upload features are enabled. Required test documents are available.</x:v>
      </x:c>
      <x:c r="G16" s="14" t="str">
        <x:v>Enterprise Security Policy v2.1 PDF</x:v>
      </x:c>
      <x:c r="H16" s="14" t="str">
        <x:v>Who owns access review governance? Provide citations.</x:v>
      </x:c>
      <x:c r="I16" s="14" t="str">
        <x:v>1. Login to Open WebUI with a valid test user account.
2. Start a new chat or RAG-enabled knowledge base session.
3. Upload or select test document set: Enterprise Security Policy v2.1 PDF.
4. Submit the prompt.
5. Review the generated answer, retrieved sources, citations, and source snippets if displayed.
6. Compare the response against the source documents and record observations.</x:v>
      </x:c>
      <x:c r="J16" s="14" t="str">
        <x:v>AI should provide the correct owner and cite the exact page, section, or source chunk containing that owner. No unrelated citation should be used.</x:v>
      </x:c>
      <x:c r="K16" s="14" t="str">
        <x:v>Validate: Correct Document Retrieved (Yes/No); Correct Citation Generated (Yes/No); Grounded Response (Yes/No); Hallucination Prevented (Yes/No); Source Attribution Correct (Yes/No); Missing Information Handled Correctly (Yes/No).</x:v>
      </x:c>
      <x:c r="L16" s="14" t="str"/>
      <x:c r="M16" s="14" t="str"/>
      <x:c r="N16" s="14" t="str"/>
      <x:c r="O16" s="14" t="str"/>
      <x:c r="P16" s="14" t="str"/>
      <x:c r="Q16" s="14" t="str"/>
      <x:c r="R16" s="14" t="str"/>
      <x:c r="S16" s="14" t="str">
        <x:v>Not Executed</x:v>
      </x:c>
      <x:c r="T16" s="14" t="str">
        <x:v>High</x:v>
      </x:c>
      <x:c r="U16" s="14" t="str">
        <x:v>High</x:v>
      </x:c>
    </x:row>
    <x:row r="17" ht="92" customHeight="1">
      <x:c r="A17" s="14" t="str">
        <x:v>OWUI-RAG-TC-016</x:v>
      </x:c>
      <x:c r="B17" s="14" t="str">
        <x:v>OWUI-TS-042</x:v>
      </x:c>
      <x:c r="C17" s="14" t="str">
        <x:v>Citation Validation</x:v>
      </x:c>
      <x:c r="D17" s="14" t="str">
        <x:v>Validate page reference accuracy</x:v>
      </x:c>
      <x:c r="E17" s="14" t="str">
        <x:v>Verify that page citations match the source page containing the answer.</x:v>
      </x:c>
      <x:c r="F17" s="14" t="str">
        <x:v>Open WebUI is accessible. User is logged in. RAG/Knowledge Base and document upload features are enabled. Required test documents are available.</x:v>
      </x:c>
      <x:c r="G17" s="14" t="str">
        <x:v>HR Leave Policy PDF with page numbers</x:v>
      </x:c>
      <x:c r="H17" s="14" t="str">
        <x:v>What is the annual leave carry-forward limit? Cite the page.</x:v>
      </x:c>
      <x:c r="I17" s="14" t="str">
        <x:v>1. Login to Open WebUI with a valid test user account.
2. Start a new chat or RAG-enabled knowledge base session.
3. Upload or select test document set: HR Leave Policy PDF with page numbers.
4. Submit the prompt.
5. Review the generated answer, retrieved sources, citations, and source snippets if displayed.
6. Compare the response against the source documents and record observations.</x:v>
      </x:c>
      <x:c r="J17" s="14" t="str">
        <x:v>AI should return the documented limit and cite the correct page. It should not cite an adjacent page or unsupported section.</x:v>
      </x:c>
      <x:c r="K17" s="14" t="str">
        <x:v>Validate: Correct Document Retrieved (Yes/No); Correct Citation Generated (Yes/No); Grounded Response (Yes/No); Hallucination Prevented (Yes/No); Source Attribution Correct (Yes/No); Missing Information Handled Correctly (Yes/No).</x:v>
      </x:c>
      <x:c r="L17" s="14" t="str"/>
      <x:c r="M17" s="14" t="str"/>
      <x:c r="N17" s="14" t="str"/>
      <x:c r="O17" s="14" t="str"/>
      <x:c r="P17" s="14" t="str"/>
      <x:c r="Q17" s="14" t="str"/>
      <x:c r="R17" s="14" t="str"/>
      <x:c r="S17" s="14" t="str">
        <x:v>Not Executed</x:v>
      </x:c>
      <x:c r="T17" s="14" t="str">
        <x:v>High</x:v>
      </x:c>
      <x:c r="U17" s="14" t="str">
        <x:v>High</x:v>
      </x:c>
    </x:row>
    <x:row r="18" ht="92" customHeight="1">
      <x:c r="A18" s="14" t="str">
        <x:v>OWUI-RAG-TC-017</x:v>
      </x:c>
      <x:c r="B18" s="14" t="str">
        <x:v>OWUI-TS-042</x:v>
      </x:c>
      <x:c r="C18" s="14" t="str">
        <x:v>Citation Validation</x:v>
      </x:c>
      <x:c r="D18" s="14" t="str">
        <x:v>Validate section reference accuracy</x:v>
      </x:c>
      <x:c r="E18" s="14" t="str">
        <x:v>Verify that section-level citation points to the correct section.</x:v>
      </x:c>
      <x:c r="F18" s="14" t="str">
        <x:v>Open WebUI is accessible. User is logged in. RAG/Knowledge Base and document upload features are enabled. Required test documents are available.</x:v>
      </x:c>
      <x:c r="G18" s="14" t="str">
        <x:v>Incident Management SOP DOCX</x:v>
      </x:c>
      <x:c r="H18" s="14" t="str">
        <x:v>What is the escalation rule for Severity 1 incidents? Cite the section.</x:v>
      </x:c>
      <x:c r="I18" s="14" t="str">
        <x:v>1. Login to Open WebUI with a valid test user account.
2. Start a new chat or RAG-enabled knowledge base session.
3. Upload or select test document set: Incident Management SOP DOCX.
4. Submit the prompt.
5. Review the generated answer, retrieved sources, citations, and source snippets if displayed.
6. Compare the response against the source documents and record observations.</x:v>
      </x:c>
      <x:c r="J18" s="14" t="str">
        <x:v>AI should cite the Severity 1 escalation section or equivalent source anchor and provide only source-supported content.</x:v>
      </x:c>
      <x:c r="K18" s="14" t="str">
        <x:v>Validate: Correct Document Retrieved (Yes/No); Correct Citation Generated (Yes/No); Grounded Response (Yes/No); Hallucination Prevented (Yes/No); Source Attribution Correct (Yes/No); Missing Information Handled Correctly (Yes/No).</x:v>
      </x:c>
      <x:c r="L18" s="14" t="str"/>
      <x:c r="M18" s="14" t="str"/>
      <x:c r="N18" s="14" t="str"/>
      <x:c r="O18" s="14" t="str"/>
      <x:c r="P18" s="14" t="str"/>
      <x:c r="Q18" s="14" t="str"/>
      <x:c r="R18" s="14" t="str"/>
      <x:c r="S18" s="14" t="str">
        <x:v>Not Executed</x:v>
      </x:c>
      <x:c r="T18" s="14" t="str">
        <x:v>High</x:v>
      </x:c>
      <x:c r="U18" s="14" t="str">
        <x:v>High</x:v>
      </x:c>
    </x:row>
    <x:row r="19" ht="92" customHeight="1">
      <x:c r="A19" s="14" t="str">
        <x:v>OWUI-RAG-TC-018</x:v>
      </x:c>
      <x:c r="B19" s="14" t="str">
        <x:v>OWUI-TS-042</x:v>
      </x:c>
      <x:c r="C19" s="14" t="str">
        <x:v>Citation Validation</x:v>
      </x:c>
      <x:c r="D19" s="14" t="str">
        <x:v>Validate no fake citations for absent answer</x:v>
      </x:c>
      <x:c r="E19" s="14" t="str">
        <x:v>Verify that the AI does not generate citations when the answer is not present.</x:v>
      </x:c>
      <x:c r="F19" s="14" t="str">
        <x:v>Open WebUI is accessible. User is logged in. RAG/Knowledge Base and document upload features are enabled. Required test documents are available.</x:v>
      </x:c>
      <x:c r="G19" s="14" t="str">
        <x:v>Acceptable Use Policy DOCX</x:v>
      </x:c>
      <x:c r="H19" s="14" t="str">
        <x:v>What page confirms that the application is SOC 2 certified? Provide citation.</x:v>
      </x:c>
      <x:c r="I19" s="14" t="str">
        <x:v>1. Login to Open WebUI with a valid test user account.
2. Start a new chat or RAG-enabled knowledge base session.
3. Upload or select test document set: Acceptable Use Policy DOCX.
4. Submit the prompt.
5. Review the generated answer, retrieved sources, citations, and source snippets if displayed.
6. Compare the response against the source documents and record observations.</x:v>
      </x:c>
      <x:c r="J19" s="14" t="str">
        <x:v>AI should state that the document does not confirm SOC 2 certification and should not generate fake page or citation references.</x:v>
      </x:c>
      <x:c r="K19" s="14" t="str">
        <x:v>Validate: Correct Document Retrieved (Yes/No); Correct Citation Generated (Yes/No); Grounded Response (Yes/No); Hallucination Prevented (Yes/No); Source Attribution Correct (Yes/No); Missing Information Handled Correctly (Yes/No).</x:v>
      </x:c>
      <x:c r="L19" s="14" t="str"/>
      <x:c r="M19" s="14" t="str"/>
      <x:c r="N19" s="14" t="str"/>
      <x:c r="O19" s="14" t="str"/>
      <x:c r="P19" s="14" t="str"/>
      <x:c r="Q19" s="14" t="str"/>
      <x:c r="R19" s="14" t="str"/>
      <x:c r="S19" s="14" t="str">
        <x:v>Not Executed</x:v>
      </x:c>
      <x:c r="T19" s="14" t="str">
        <x:v>High</x:v>
      </x:c>
      <x:c r="U19" s="14" t="str">
        <x:v>High</x:v>
      </x:c>
    </x:row>
    <x:row r="20" ht="92" customHeight="1">
      <x:c r="A20" s="14" t="str">
        <x:v>OWUI-RAG-TC-019</x:v>
      </x:c>
      <x:c r="B20" s="14" t="str">
        <x:v>OWUI-TS-042</x:v>
      </x:c>
      <x:c r="C20" s="14" t="str">
        <x:v>Citation Validation</x:v>
      </x:c>
      <x:c r="D20" s="14" t="str">
        <x:v>Validate multiple citations for multi-section answer</x:v>
      </x:c>
      <x:c r="E20" s="14" t="str">
        <x:v>Verify that each major claim in a combined answer has supporting citation.</x:v>
      </x:c>
      <x:c r="F20" s="14" t="str">
        <x:v>Open WebUI is accessible. User is logged in. RAG/Knowledge Base and document upload features are enabled. Required test documents are available.</x:v>
      </x:c>
      <x:c r="G20" s="14" t="str">
        <x:v>Data Retention Policy PDF</x:v>
      </x:c>
      <x:c r="H20" s="14" t="str">
        <x:v>Summarize retention periods for employee records and customer records with citations.</x:v>
      </x:c>
      <x:c r="I20" s="14" t="str">
        <x:v>1. Login to Open WebUI with a valid test user account.
2. Start a new chat or RAG-enabled knowledge base session.
3. Upload or select test document set: Data Retention Policy PDF.
4. Submit the prompt.
5. Review the generated answer, retrieved sources, citations, and source snippets if displayed.
6. Compare the response against the source documents and record observations.</x:v>
      </x:c>
      <x:c r="J20" s="14" t="str">
        <x:v>AI should cite the source section for each retention period and avoid unsupported retention categories.</x:v>
      </x:c>
      <x:c r="K20" s="14" t="str">
        <x:v>Validate: Correct Document Retrieved (Yes/No); Correct Citation Generated (Yes/No); Grounded Response (Yes/No); Hallucination Prevented (Yes/No); Source Attribution Correct (Yes/No); Missing Information Handled Correctly (Yes/No).</x:v>
      </x:c>
      <x:c r="L20" s="14" t="str"/>
      <x:c r="M20" s="14" t="str"/>
      <x:c r="N20" s="14" t="str"/>
      <x:c r="O20" s="14" t="str"/>
      <x:c r="P20" s="14" t="str"/>
      <x:c r="Q20" s="14" t="str"/>
      <x:c r="R20" s="14" t="str"/>
      <x:c r="S20" s="14" t="str">
        <x:v>Not Executed</x:v>
      </x:c>
      <x:c r="T20" s="14" t="str">
        <x:v>High</x:v>
      </x:c>
      <x:c r="U20" s="14" t="str">
        <x:v>High</x:v>
      </x:c>
    </x:row>
    <x:row r="21" ht="92" customHeight="1">
      <x:c r="A21" s="14" t="str">
        <x:v>OWUI-RAG-TC-020</x:v>
      </x:c>
      <x:c r="B21" s="14" t="str">
        <x:v>OWUI-TS-042</x:v>
      </x:c>
      <x:c r="C21" s="14" t="str">
        <x:v>Citation Validation</x:v>
      </x:c>
      <x:c r="D21" s="14" t="str">
        <x:v>Validate citation for table extraction</x:v>
      </x:c>
      <x:c r="E21" s="14" t="str">
        <x:v>Verify that a value extracted from a table is cited to that table.</x:v>
      </x:c>
      <x:c r="F21" s="14" t="str">
        <x:v>Open WebUI is accessible. User is logged in. RAG/Knowledge Base and document upload features are enabled. Required test documents are available.</x:v>
      </x:c>
      <x:c r="G21" s="14" t="str">
        <x:v>Password Policy PDF with control table</x:v>
      </x:c>
      <x:c r="H21" s="14" t="str">
        <x:v>What is the password expiry period? Cite the table or section.</x:v>
      </x:c>
      <x:c r="I21" s="14" t="str">
        <x:v>1. Login to Open WebUI with a valid test user account.
2. Start a new chat or RAG-enabled knowledge base session.
3. Upload or select test document set: Password Policy PDF with control table.
4. Submit the prompt.
5. Review the generated answer, retrieved sources, citations, and source snippets if displayed.
6. Compare the response against the source documents and record observations.</x:v>
      </x:c>
      <x:c r="J21" s="14" t="str">
        <x:v>AI should cite the table/section where the password expiry period is listed and return the exact value.</x:v>
      </x:c>
      <x:c r="K21" s="14" t="str">
        <x:v>Validate: Correct Document Retrieved (Yes/No); Correct Citation Generated (Yes/No); Grounded Response (Yes/No); Hallucination Prevented (Yes/No); Source Attribution Correct (Yes/No); Missing Information Handled Correctly (Yes/No).</x:v>
      </x:c>
      <x:c r="L21" s="14" t="str"/>
      <x:c r="M21" s="14" t="str"/>
      <x:c r="N21" s="14" t="str"/>
      <x:c r="O21" s="14" t="str"/>
      <x:c r="P21" s="14" t="str"/>
      <x:c r="Q21" s="14" t="str"/>
      <x:c r="R21" s="14" t="str"/>
      <x:c r="S21" s="14" t="str">
        <x:v>Not Executed</x:v>
      </x:c>
      <x:c r="T21" s="14" t="str">
        <x:v>High</x:v>
      </x:c>
      <x:c r="U21" s="14" t="str">
        <x:v>High</x:v>
      </x:c>
    </x:row>
    <x:row r="22" ht="92" customHeight="1">
      <x:c r="A22" s="14" t="str">
        <x:v>OWUI-RAG-TC-021</x:v>
      </x:c>
      <x:c r="B22" s="14" t="str">
        <x:v>OWUI-TS-042</x:v>
      </x:c>
      <x:c r="C22" s="14" t="str">
        <x:v>Citation Validation</x:v>
      </x:c>
      <x:c r="D22" s="14" t="str">
        <x:v>Validate appendix citation</x:v>
      </x:c>
      <x:c r="E22" s="14" t="str">
        <x:v>Verify citation points to appendix when the answer is in an appendix.</x:v>
      </x:c>
      <x:c r="F22" s="14" t="str">
        <x:v>Open WebUI is accessible. User is logged in. RAG/Knowledge Base and document upload features are enabled. Required test documents are available.</x:v>
      </x:c>
      <x:c r="G22" s="14" t="str">
        <x:v>Vendor Risk Assessment Guide PDF with Appendix A</x:v>
      </x:c>
      <x:c r="H22" s="14" t="str">
        <x:v>Which criteria define a high-risk vendor? Cite the appendix.</x:v>
      </x:c>
      <x:c r="I22" s="14" t="str">
        <x:v>1. Login to Open WebUI with a valid test user account.
2. Start a new chat or RAG-enabled knowledge base session.
3. Upload or select test document set: Vendor Risk Assessment Guide PDF with Appendix A.
4. Submit the prompt.
5. Review the generated answer, retrieved sources, citations, and source snippets if displayed.
6. Compare the response against the source documents and record observations.</x:v>
      </x:c>
      <x:c r="J22" s="14" t="str">
        <x:v>AI should cite Appendix A or the relevant criteria table and avoid citing the introduction or unrelated sections.</x:v>
      </x:c>
      <x:c r="K22" s="14" t="str">
        <x:v>Validate: Correct Document Retrieved (Yes/No); Correct Citation Generated (Yes/No); Grounded Response (Yes/No); Hallucination Prevented (Yes/No); Source Attribution Correct (Yes/No); Missing Information Handled Correctly (Yes/No).</x:v>
      </x:c>
      <x:c r="L22" s="14" t="str"/>
      <x:c r="M22" s="14" t="str"/>
      <x:c r="N22" s="14" t="str"/>
      <x:c r="O22" s="14" t="str"/>
      <x:c r="P22" s="14" t="str"/>
      <x:c r="Q22" s="14" t="str"/>
      <x:c r="R22" s="14" t="str"/>
      <x:c r="S22" s="14" t="str">
        <x:v>Not Executed</x:v>
      </x:c>
      <x:c r="T22" s="14" t="str">
        <x:v>High</x:v>
      </x:c>
      <x:c r="U22" s="14" t="str">
        <x:v>High</x:v>
      </x:c>
    </x:row>
    <x:row r="23" ht="92" customHeight="1">
      <x:c r="A23" s="14" t="str">
        <x:v>OWUI-RAG-TC-022</x:v>
      </x:c>
      <x:c r="B23" s="14" t="str">
        <x:v>OWUI-TS-042</x:v>
      </x:c>
      <x:c r="C23" s="14" t="str">
        <x:v>Citation Validation</x:v>
      </x:c>
      <x:c r="D23" s="14" t="str">
        <x:v>Validate citation for direct quote</x:v>
      </x:c>
      <x:c r="E23" s="14" t="str">
        <x:v>Verify that direct quoted content is traceable to the cited source.</x:v>
      </x:c>
      <x:c r="F23" s="14" t="str">
        <x:v>Open WebUI is accessible. User is logged in. RAG/Knowledge Base and document upload features are enabled. Required test documents are available.</x:v>
      </x:c>
      <x:c r="G23" s="14" t="str">
        <x:v>Data Governance Handbook PDF</x:v>
      </x:c>
      <x:c r="H23" s="14" t="str">
        <x:v>Quote the definition of data steward and cite it.</x:v>
      </x:c>
      <x:c r="I23" s="14" t="str">
        <x:v>1. Login to Open WebUI with a valid test user account.
2. Start a new chat or RAG-enabled knowledge base session.
3. Upload or select test document set: Data Governance Handbook PDF.
4. Submit the prompt.
5. Review the generated answer, retrieved sources, citations, and source snippets if displayed.
6. Compare the response against the source documents and record observations.</x:v>
      </x:c>
      <x:c r="J23" s="14" t="str">
        <x:v>AI should quote or closely paraphrase the definition and cite the exact glossary/definition source. It must not fabricate the quote.</x:v>
      </x:c>
      <x:c r="K23" s="14" t="str">
        <x:v>Validate: Correct Document Retrieved (Yes/No); Correct Citation Generated (Yes/No); Grounded Response (Yes/No); Hallucination Prevented (Yes/No); Source Attribution Correct (Yes/No); Missing Information Handled Correctly (Yes/No).</x:v>
      </x:c>
      <x:c r="L23" s="14" t="str"/>
      <x:c r="M23" s="14" t="str"/>
      <x:c r="N23" s="14" t="str"/>
      <x:c r="O23" s="14" t="str"/>
      <x:c r="P23" s="14" t="str"/>
      <x:c r="Q23" s="14" t="str"/>
      <x:c r="R23" s="14" t="str"/>
      <x:c r="S23" s="14" t="str">
        <x:v>Not Executed</x:v>
      </x:c>
      <x:c r="T23" s="14" t="str">
        <x:v>High</x:v>
      </x:c>
      <x:c r="U23" s="14" t="str">
        <x:v>High</x:v>
      </x:c>
    </x:row>
    <x:row r="24" ht="92" customHeight="1">
      <x:c r="A24" s="14" t="str">
        <x:v>OWUI-RAG-TC-023</x:v>
      </x:c>
      <x:c r="B24" s="14" t="str">
        <x:v>OWUI-TS-042</x:v>
      </x:c>
      <x:c r="C24" s="14" t="str">
        <x:v>Citation Validation</x:v>
      </x:c>
      <x:c r="D24" s="14" t="str">
        <x:v>Validate document name in citation</x:v>
      </x:c>
      <x:c r="E24" s="14" t="str">
        <x:v>Verify that the citation identifies the correct document when multiple files are loaded.</x:v>
      </x:c>
      <x:c r="F24" s="14" t="str">
        <x:v>Open WebUI is accessible. User is logged in. RAG/Knowledge Base and document upload features are enabled. Required test documents are available.</x:v>
      </x:c>
      <x:c r="G24" s="14" t="str">
        <x:v>HR Leave Policy PDF; Travel Policy PDF</x:v>
      </x:c>
      <x:c r="H24" s="14" t="str">
        <x:v>What is the approval limit for domestic travel? Cite the source document.</x:v>
      </x:c>
      <x:c r="I24" s="14" t="str">
        <x:v>1. Login to Open WebUI with a valid test user account.
2. Start a new chat or RAG-enabled knowledge base session.
3. Upload or select test document set: HR Leave Policy PDF; Travel Policy PDF.
4. Submit the prompt.
5. Review the generated answer, retrieved sources, citations, and source snippets if displayed.
6. Compare the response against the source documents and record observations.</x:v>
      </x:c>
      <x:c r="J24" s="14" t="str">
        <x:v>AI should answer from Travel Policy and attribute the citation to Travel Policy, not HR Leave Policy.</x:v>
      </x:c>
      <x:c r="K24" s="14" t="str">
        <x:v>Validate: Correct Document Retrieved (Yes/No); Correct Citation Generated (Yes/No); Grounded Response (Yes/No); Hallucination Prevented (Yes/No); Source Attribution Correct (Yes/No); Missing Information Handled Correctly (Yes/No).</x:v>
      </x:c>
      <x:c r="L24" s="14" t="str"/>
      <x:c r="M24" s="14" t="str"/>
      <x:c r="N24" s="14" t="str"/>
      <x:c r="O24" s="14" t="str"/>
      <x:c r="P24" s="14" t="str"/>
      <x:c r="Q24" s="14" t="str"/>
      <x:c r="R24" s="14" t="str"/>
      <x:c r="S24" s="14" t="str">
        <x:v>Not Executed</x:v>
      </x:c>
      <x:c r="T24" s="14" t="str">
        <x:v>High</x:v>
      </x:c>
      <x:c r="U24" s="14" t="str">
        <x:v>High</x:v>
      </x:c>
    </x:row>
    <x:row r="25" ht="92" customHeight="1">
      <x:c r="A25" s="14" t="str">
        <x:v>OWUI-RAG-TC-024</x:v>
      </x:c>
      <x:c r="B25" s="14" t="str">
        <x:v>OWUI-TS-042</x:v>
      </x:c>
      <x:c r="C25" s="14" t="str">
        <x:v>Citation Validation</x:v>
      </x:c>
      <x:c r="D25" s="14" t="str">
        <x:v>Validate citation after document version change</x:v>
      </x:c>
      <x:c r="E25" s="14" t="str">
        <x:v>Verify that citation refers to the latest selected document version.</x:v>
      </x:c>
      <x:c r="F25" s="14" t="str">
        <x:v>Open WebUI is accessible. User is logged in. RAG/Knowledge Base and document upload features are enabled. Required test documents are available.</x:v>
      </x:c>
      <x:c r="G25" s="14" t="str">
        <x:v>Data Retention Policy v1.0 PDF; Data Retention Policy v2.0 PDF</x:v>
      </x:c>
      <x:c r="H25" s="14" t="str">
        <x:v>Using v2.0, what is the customer record retention period? Cite the source.</x:v>
      </x:c>
      <x:c r="I25" s="14" t="str">
        <x:v>1. Login to Open WebUI with a valid test user account.
2. Start a new chat or RAG-enabled knowledge base session.
3. Upload or select test document set: Data Retention Policy v1.0 PDF; Data Retention Policy v2.0 PDF.
4. Submit the prompt.
5. Review the generated answer, retrieved sources, citations, and source snippets if displayed.
6. Compare the response against the source documents and record observations.</x:v>
      </x:c>
      <x:c r="J25" s="14" t="str">
        <x:v>AI should cite Data Retention Policy v2.0 and should not cite v1.0 when v2.0 is explicitly requested.</x:v>
      </x:c>
      <x:c r="K25" s="14" t="str">
        <x:v>Validate: Correct Document Retrieved (Yes/No); Correct Citation Generated (Yes/No); Grounded Response (Yes/No); Hallucination Prevented (Yes/No); Source Attribution Correct (Yes/No); Missing Information Handled Correctly (Yes/No).</x:v>
      </x:c>
      <x:c r="L25" s="14" t="str"/>
      <x:c r="M25" s="14" t="str"/>
      <x:c r="N25" s="14" t="str"/>
      <x:c r="O25" s="14" t="str"/>
      <x:c r="P25" s="14" t="str"/>
      <x:c r="Q25" s="14" t="str"/>
      <x:c r="R25" s="14" t="str"/>
      <x:c r="S25" s="14" t="str">
        <x:v>Not Executed</x:v>
      </x:c>
      <x:c r="T25" s="14" t="str">
        <x:v>High</x:v>
      </x:c>
      <x:c r="U25" s="14" t="str">
        <x:v>High</x:v>
      </x:c>
    </x:row>
    <x:row r="26" ht="92" customHeight="1">
      <x:c r="A26" s="14" t="str">
        <x:v>OWUI-RAG-TC-025</x:v>
      </x:c>
      <x:c r="B26" s="14" t="str">
        <x:v>OWUI-TS-042</x:v>
      </x:c>
      <x:c r="C26" s="14" t="str">
        <x:v>Citation Validation</x:v>
      </x:c>
      <x:c r="D26" s="14" t="str">
        <x:v>Validate citation for conflicting evidence</x:v>
      </x:c>
      <x:c r="E26" s="14" t="str">
        <x:v>Verify that citations support each side of a conflict when sources disagree.</x:v>
      </x:c>
      <x:c r="F26" s="14" t="str">
        <x:v>Open WebUI is accessible. User is logged in. RAG/Knowledge Base and document upload features are enabled. Required test documents are available.</x:v>
      </x:c>
      <x:c r="G26" s="14" t="str">
        <x:v>Security Policy v1.0 PDF; Security Policy v2.0 PDF</x:v>
      </x:c>
      <x:c r="H26" s="14" t="str">
        <x:v>Compare MFA requirements across both versions and cite each version.</x:v>
      </x:c>
      <x:c r="I26" s="14" t="str">
        <x:v>1. Login to Open WebUI with a valid test user account.
2. Start a new chat or RAG-enabled knowledge base session.
3. Upload or select test document set: Security Policy v1.0 PDF; Security Policy v2.0 PDF.
4. Submit the prompt.
5. Review the generated answer, retrieved sources, citations, and source snippets if displayed.
6. Compare the response against the source documents and record observations.</x:v>
      </x:c>
      <x:c r="J26" s="14" t="str">
        <x:v>AI should cite both versions separately and clearly distinguish differing MFA requirements.</x:v>
      </x:c>
      <x:c r="K26" s="14" t="str">
        <x:v>Validate: Correct Document Retrieved (Yes/No); Correct Citation Generated (Yes/No); Grounded Response (Yes/No); Hallucination Prevented (Yes/No); Source Attribution Correct (Yes/No); Missing Information Handled Correctly (Yes/No).</x:v>
      </x:c>
      <x:c r="L26" s="14" t="str"/>
      <x:c r="M26" s="14" t="str"/>
      <x:c r="N26" s="14" t="str"/>
      <x:c r="O26" s="14" t="str"/>
      <x:c r="P26" s="14" t="str"/>
      <x:c r="Q26" s="14" t="str"/>
      <x:c r="R26" s="14" t="str"/>
      <x:c r="S26" s="14" t="str">
        <x:v>Not Executed</x:v>
      </x:c>
      <x:c r="T26" s="14" t="str">
        <x:v>High</x:v>
      </x:c>
      <x:c r="U26" s="14" t="str">
        <x:v>High</x:v>
      </x:c>
    </x:row>
    <x:row r="27" ht="92" customHeight="1">
      <x:c r="A27" s="14" t="str">
        <x:v>OWUI-RAG-TC-026</x:v>
      </x:c>
      <x:c r="B27" s="14" t="str">
        <x:v>OWUI-TS-042</x:v>
      </x:c>
      <x:c r="C27" s="14" t="str">
        <x:v>Citation Validation</x:v>
      </x:c>
      <x:c r="D27" s="14" t="str">
        <x:v>Validate no orphan citation</x:v>
      </x:c>
      <x:c r="E27" s="14" t="str">
        <x:v>Verify that each citation corresponds to a claim in the answer.</x:v>
      </x:c>
      <x:c r="F27" s="14" t="str">
        <x:v>Open WebUI is accessible. User is logged in. RAG/Knowledge Base and document upload features are enabled. Required test documents are available.</x:v>
      </x:c>
      <x:c r="G27" s="14" t="str">
        <x:v>Open WebUI User FAQ PDF</x:v>
      </x:c>
      <x:c r="H27" s="14" t="str">
        <x:v>List the supported upload file types with citations.</x:v>
      </x:c>
      <x:c r="I27"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27" s="14" t="str">
        <x:v>AI should cite only relevant FAQ entries and should not include citations that do not support the listed file types.</x:v>
      </x:c>
      <x:c r="K27" s="14" t="str">
        <x:v>Validate: Correct Document Retrieved (Yes/No); Correct Citation Generated (Yes/No); Grounded Response (Yes/No); Hallucination Prevented (Yes/No); Source Attribution Correct (Yes/No); Missing Information Handled Correctly (Yes/No).</x:v>
      </x:c>
      <x:c r="L27" s="14" t="str"/>
      <x:c r="M27" s="14" t="str"/>
      <x:c r="N27" s="14" t="str"/>
      <x:c r="O27" s="14" t="str"/>
      <x:c r="P27" s="14" t="str"/>
      <x:c r="Q27" s="14" t="str"/>
      <x:c r="R27" s="14" t="str"/>
      <x:c r="S27" s="14" t="str">
        <x:v>Not Executed</x:v>
      </x:c>
      <x:c r="T27" s="14" t="str">
        <x:v>High</x:v>
      </x:c>
      <x:c r="U27" s="14" t="str">
        <x:v>High</x:v>
      </x:c>
    </x:row>
    <x:row r="28" ht="92" customHeight="1">
      <x:c r="A28" s="14" t="str">
        <x:v>OWUI-RAG-TC-027</x:v>
      </x:c>
      <x:c r="B28" s="14" t="str">
        <x:v>OWUI-TS-042</x:v>
      </x:c>
      <x:c r="C28" s="14" t="str">
        <x:v>Citation Validation</x:v>
      </x:c>
      <x:c r="D28" s="14" t="str">
        <x:v>Validate citation not invented from file name</x:v>
      </x:c>
      <x:c r="E28" s="14" t="str">
        <x:v>Verify that file name alone is not treated as evidence.</x:v>
      </x:c>
      <x:c r="F28" s="14" t="str">
        <x:v>Open WebUI is accessible. User is logged in. RAG/Knowledge Base and document upload features are enabled. Required test documents are available.</x:v>
      </x:c>
      <x:c r="G28" s="14" t="str">
        <x:v>Open WebUI Compliance Claims Template DOCX with empty body</x:v>
      </x:c>
      <x:c r="H28" s="14" t="str">
        <x:v>What certifications are confirmed in this document? Cite each one.</x:v>
      </x:c>
      <x:c r="I28" s="14" t="str">
        <x:v>1. Login to Open WebUI with a valid test user account.
2. Start a new chat or RAG-enabled knowledge base session.
3. Upload or select test document set: Open WebUI Compliance Claims Template DOCX with empty body.
4. Submit the prompt.
5. Review the generated answer, retrieved sources, citations, and source snippets if displayed.
6. Compare the response against the source documents and record observations.</x:v>
      </x:c>
      <x:c r="J28" s="14" t="str">
        <x:v>AI should state that no certifications are confirmed in the document body and should not cite the file name as evidence.</x:v>
      </x:c>
      <x:c r="K28" s="14" t="str">
        <x:v>Validate: Correct Document Retrieved (Yes/No); Correct Citation Generated (Yes/No); Grounded Response (Yes/No); Hallucination Prevented (Yes/No); Source Attribution Correct (Yes/No); Missing Information Handled Correctly (Yes/No).</x:v>
      </x:c>
      <x:c r="L28" s="14" t="str"/>
      <x:c r="M28" s="14" t="str"/>
      <x:c r="N28" s="14" t="str"/>
      <x:c r="O28" s="14" t="str"/>
      <x:c r="P28" s="14" t="str"/>
      <x:c r="Q28" s="14" t="str"/>
      <x:c r="R28" s="14" t="str"/>
      <x:c r="S28" s="14" t="str">
        <x:v>Not Executed</x:v>
      </x:c>
      <x:c r="T28" s="14" t="str">
        <x:v>High</x:v>
      </x:c>
      <x:c r="U28" s="14" t="str">
        <x:v>High</x:v>
      </x:c>
    </x:row>
    <x:row r="29" ht="92" customHeight="1">
      <x:c r="A29" s="14" t="str">
        <x:v>OWUI-RAG-TC-028</x:v>
      </x:c>
      <x:c r="B29" s="14" t="str">
        <x:v>OWUI-TS-042</x:v>
      </x:c>
      <x:c r="C29" s="14" t="str">
        <x:v>Citation Validation</x:v>
      </x:c>
      <x:c r="D29" s="14" t="str">
        <x:v>Validate citation for answer across two documents</x:v>
      </x:c>
      <x:c r="E29" s="14" t="str">
        <x:v>Verify that answer combines two documents with correct source attribution.</x:v>
      </x:c>
      <x:c r="F29" s="14" t="str">
        <x:v>Open WebUI is accessible. User is logged in. RAG/Knowledge Base and document upload features are enabled. Required test documents are available.</x:v>
      </x:c>
      <x:c r="G29" s="14" t="str">
        <x:v>Project Charter DOCX; QA Test Strategy PDF</x:v>
      </x:c>
      <x:c r="H29" s="14" t="str">
        <x:v>Who approves the QA test plan and what are the exit criteria? Cite both sources.</x:v>
      </x:c>
      <x:c r="I29" s="14" t="str">
        <x:v>1. Login to Open WebUI with a valid test user account.
2. Start a new chat or RAG-enabled knowledge base session.
3. Upload or select test document set: Project Charter DOCX; QA Test Strategy PDF.
4. Submit the prompt.
5. Review the generated answer, retrieved sources, citations, and source snippets if displayed.
6. Compare the response against the source documents and record observations.</x:v>
      </x:c>
      <x:c r="J29" s="14" t="str">
        <x:v>AI should cite Project Charter for approver and QA Test Strategy for exit criteria, without mixing source attribution.</x:v>
      </x:c>
      <x:c r="K29" s="14" t="str">
        <x:v>Validate: Correct Document Retrieved (Yes/No); Correct Citation Generated (Yes/No); Grounded Response (Yes/No); Hallucination Prevented (Yes/No); Source Attribution Correct (Yes/No); Missing Information Handled Correctly (Yes/No).</x:v>
      </x:c>
      <x:c r="L29" s="14" t="str"/>
      <x:c r="M29" s="14" t="str"/>
      <x:c r="N29" s="14" t="str"/>
      <x:c r="O29" s="14" t="str"/>
      <x:c r="P29" s="14" t="str"/>
      <x:c r="Q29" s="14" t="str"/>
      <x:c r="R29" s="14" t="str"/>
      <x:c r="S29" s="14" t="str">
        <x:v>Not Executed</x:v>
      </x:c>
      <x:c r="T29" s="14" t="str">
        <x:v>High</x:v>
      </x:c>
      <x:c r="U29" s="14" t="str">
        <x:v>High</x:v>
      </x:c>
    </x:row>
    <x:row r="30" ht="92" customHeight="1">
      <x:c r="A30" s="14" t="str">
        <x:v>OWUI-RAG-TC-029</x:v>
      </x:c>
      <x:c r="B30" s="14" t="str">
        <x:v>OWUI-TS-043</x:v>
      </x:c>
      <x:c r="C30" s="14" t="str">
        <x:v>Exact Match Retrieval</x:v>
      </x:c>
      <x:c r="D30" s="14" t="str">
        <x:v>Validate retrieval using exact requirement ID</x:v>
      </x:c>
      <x:c r="E30" s="14" t="str">
        <x:v>Verify exact ID query retrieves the matching requirement.</x:v>
      </x:c>
      <x:c r="F30" s="14" t="str">
        <x:v>Open WebUI is accessible. User is logged in. RAG/Knowledge Base and document upload features are enabled. Required test documents are available.</x:v>
      </x:c>
      <x:c r="G30" s="14" t="str">
        <x:v>Open WebUI Requirements Traceability Matrix PDF</x:v>
      </x:c>
      <x:c r="H30" s="14" t="str">
        <x:v>Find requirement OWUI-REQ-014.</x:v>
      </x:c>
      <x:c r="I30" s="14" t="str">
        <x:v>1. Login to Open WebUI with a valid test user account.
2. Start a new chat or RAG-enabled knowledge base session.
3. Upload or select test document set: Open WebUI Requirements Traceability Matrix PDF.
4. Submit the prompt.
5. Review the generated answer, retrieved sources, citations, and source snippets if displayed.
6. Compare the response against the source documents and record observations.</x:v>
      </x:c>
      <x:c r="J30" s="14" t="str">
        <x:v>AI should retrieve the exact row or section for OWUI-REQ-014 and return the matching description only.</x:v>
      </x:c>
      <x:c r="K30" s="14" t="str">
        <x:v>Validate: Correct Document Retrieved (Yes/No); Correct Citation Generated (Yes/No); Grounded Response (Yes/No); Hallucination Prevented (Yes/No); Source Attribution Correct (Yes/No); Missing Information Handled Correctly (Yes/No).</x:v>
      </x:c>
      <x:c r="L30" s="14" t="str"/>
      <x:c r="M30" s="14" t="str"/>
      <x:c r="N30" s="14" t="str"/>
      <x:c r="O30" s="14" t="str"/>
      <x:c r="P30" s="14" t="str"/>
      <x:c r="Q30" s="14" t="str"/>
      <x:c r="R30" s="14" t="str"/>
      <x:c r="S30" s="14" t="str">
        <x:v>Not Executed</x:v>
      </x:c>
      <x:c r="T30" s="14" t="str">
        <x:v>High</x:v>
      </x:c>
      <x:c r="U30" s="14" t="str">
        <x:v>High</x:v>
      </x:c>
    </x:row>
    <x:row r="31" ht="92" customHeight="1">
      <x:c r="A31" s="14" t="str">
        <x:v>OWUI-RAG-TC-030</x:v>
      </x:c>
      <x:c r="B31" s="14" t="str">
        <x:v>OWUI-TS-043</x:v>
      </x:c>
      <x:c r="C31" s="14" t="str">
        <x:v>Exact Match Retrieval</x:v>
      </x:c>
      <x:c r="D31" s="14" t="str">
        <x:v>Validate retrieval using exact policy clause</x:v>
      </x:c>
      <x:c r="E31" s="14" t="str">
        <x:v>Verify a clause number query retrieves the correct clause.</x:v>
      </x:c>
      <x:c r="F31" s="14" t="str">
        <x:v>Open WebUI is accessible. User is logged in. RAG/Knowledge Base and document upload features are enabled. Required test documents are available.</x:v>
      </x:c>
      <x:c r="G31" s="14" t="str">
        <x:v>Acceptable Use Policy DOCX</x:v>
      </x:c>
      <x:c r="H31" s="14" t="str">
        <x:v>What does Clause 4.2 state?</x:v>
      </x:c>
      <x:c r="I31" s="14" t="str">
        <x:v>1. Login to Open WebUI with a valid test user account.
2. Start a new chat or RAG-enabled knowledge base session.
3. Upload or select test document set: Acceptable Use Policy DOCX.
4. Submit the prompt.
5. Review the generated answer, retrieved sources, citations, and source snippets if displayed.
6. Compare the response against the source documents and record observations.</x:v>
      </x:c>
      <x:c r="J31" s="14" t="str">
        <x:v>AI should retrieve Clause 4.2 and provide its content without using nearby clauses as substitutes.</x:v>
      </x:c>
      <x:c r="K31" s="14" t="str">
        <x:v>Validate: Correct Document Retrieved (Yes/No); Correct Citation Generated (Yes/No); Grounded Response (Yes/No); Hallucination Prevented (Yes/No); Source Attribution Correct (Yes/No); Missing Information Handled Correctly (Yes/No).</x:v>
      </x:c>
      <x:c r="L31" s="14" t="str"/>
      <x:c r="M31" s="14" t="str"/>
      <x:c r="N31" s="14" t="str"/>
      <x:c r="O31" s="14" t="str"/>
      <x:c r="P31" s="14" t="str"/>
      <x:c r="Q31" s="14" t="str"/>
      <x:c r="R31" s="14" t="str"/>
      <x:c r="S31" s="14" t="str">
        <x:v>Not Executed</x:v>
      </x:c>
      <x:c r="T31" s="14" t="str">
        <x:v>High</x:v>
      </x:c>
      <x:c r="U31" s="14" t="str">
        <x:v>High</x:v>
      </x:c>
    </x:row>
    <x:row r="32" ht="92" customHeight="1">
      <x:c r="A32" s="14" t="str">
        <x:v>OWUI-RAG-TC-031</x:v>
      </x:c>
      <x:c r="B32" s="14" t="str">
        <x:v>OWUI-TS-043</x:v>
      </x:c>
      <x:c r="C32" s="14" t="str">
        <x:v>Exact Match Retrieval</x:v>
      </x:c>
      <x:c r="D32" s="14" t="str">
        <x:v>Validate retrieval using exact date</x:v>
      </x:c>
      <x:c r="E32" s="14" t="str">
        <x:v>Verify exact date query retrieves the corresponding release note.</x:v>
      </x:c>
      <x:c r="F32" s="14" t="str">
        <x:v>Open WebUI is accessible. User is logged in. RAG/Knowledge Base and document upload features are enabled. Required test documents are available.</x:v>
      </x:c>
      <x:c r="G32" s="14" t="str">
        <x:v>Open WebUI QA Release Notes v1.4 PDF</x:v>
      </x:c>
      <x:c r="H32" s="14" t="str">
        <x:v>What was released on 15-Jun-2026?</x:v>
      </x:c>
      <x:c r="I32" s="14" t="str">
        <x:v>1. Login to Open WebUI with a valid test user account.
2. Start a new chat or RAG-enabled knowledge base session.
3. Upload or select test document set: Open WebUI QA Release Notes v1.4 PDF.
4. Submit the prompt.
5. Review the generated answer, retrieved sources, citations, and source snippets if displayed.
6. Compare the response against the source documents and record observations.</x:v>
      </x:c>
      <x:c r="J32" s="14" t="str">
        <x:v>AI should retrieve the release note entry dated 15-Jun-2026 and avoid other dates.</x:v>
      </x:c>
      <x:c r="K32" s="14" t="str">
        <x:v>Validate: Correct Document Retrieved (Yes/No); Correct Citation Generated (Yes/No); Grounded Response (Yes/No); Hallucination Prevented (Yes/No); Source Attribution Correct (Yes/No); Missing Information Handled Correctly (Yes/No).</x:v>
      </x:c>
      <x:c r="L32" s="14" t="str"/>
      <x:c r="M32" s="14" t="str"/>
      <x:c r="N32" s="14" t="str"/>
      <x:c r="O32" s="14" t="str"/>
      <x:c r="P32" s="14" t="str"/>
      <x:c r="Q32" s="14" t="str"/>
      <x:c r="R32" s="14" t="str"/>
      <x:c r="S32" s="14" t="str">
        <x:v>Not Executed</x:v>
      </x:c>
      <x:c r="T32" s="14" t="str">
        <x:v>High</x:v>
      </x:c>
      <x:c r="U32" s="14" t="str">
        <x:v>High</x:v>
      </x:c>
    </x:row>
    <x:row r="33" ht="92" customHeight="1">
      <x:c r="A33" s="14" t="str">
        <x:v>OWUI-RAG-TC-032</x:v>
      </x:c>
      <x:c r="B33" s="14" t="str">
        <x:v>OWUI-TS-043</x:v>
      </x:c>
      <x:c r="C33" s="14" t="str">
        <x:v>Exact Match Retrieval</x:v>
      </x:c>
      <x:c r="D33" s="14" t="str">
        <x:v>Validate retrieval using exact person name</x:v>
      </x:c>
      <x:c r="E33" s="14" t="str">
        <x:v>Verify exact name query retrieves the correct stakeholder details.</x:v>
      </x:c>
      <x:c r="F33" s="14" t="str">
        <x:v>Open WebUI is accessible. User is logged in. RAG/Knowledge Base and document upload features are enabled. Required test documents are available.</x:v>
      </x:c>
      <x:c r="G33" s="14" t="str">
        <x:v>Project Charter - Open WebUI QA DOCX</x:v>
      </x:c>
      <x:c r="H33" s="14" t="str">
        <x:v>What responsibility is assigned to Priya Nair?</x:v>
      </x:c>
      <x:c r="I33" s="14" t="str">
        <x:v>1. Login to Open WebUI with a valid test user account.
2. Start a new chat or RAG-enabled knowledge base session.
3. Upload or select test document set: Project Charter - Open WebUI QA DOCX.
4. Submit the prompt.
5. Review the generated answer, retrieved sources, citations, and source snippets if displayed.
6. Compare the response against the source documents and record observations.</x:v>
      </x:c>
      <x:c r="J33" s="14" t="str">
        <x:v>AI should retrieve Priya Nair's responsibility and not mix it with other stakeholders.</x:v>
      </x:c>
      <x:c r="K33" s="14" t="str">
        <x:v>Validate: Correct Document Retrieved (Yes/No); Correct Citation Generated (Yes/No); Grounded Response (Yes/No); Hallucination Prevented (Yes/No); Source Attribution Correct (Yes/No); Missing Information Handled Correctly (Yes/No).</x:v>
      </x:c>
      <x:c r="L33" s="14" t="str"/>
      <x:c r="M33" s="14" t="str"/>
      <x:c r="N33" s="14" t="str"/>
      <x:c r="O33" s="14" t="str"/>
      <x:c r="P33" s="14" t="str"/>
      <x:c r="Q33" s="14" t="str"/>
      <x:c r="R33" s="14" t="str"/>
      <x:c r="S33" s="14" t="str">
        <x:v>Not Executed</x:v>
      </x:c>
      <x:c r="T33" s="14" t="str">
        <x:v>High</x:v>
      </x:c>
      <x:c r="U33" s="14" t="str">
        <x:v>High</x:v>
      </x:c>
    </x:row>
    <x:row r="34" ht="92" customHeight="1">
      <x:c r="A34" s="14" t="str">
        <x:v>OWUI-RAG-TC-033</x:v>
      </x:c>
      <x:c r="B34" s="14" t="str">
        <x:v>OWUI-TS-043</x:v>
      </x:c>
      <x:c r="C34" s="14" t="str">
        <x:v>Exact Match Retrieval</x:v>
      </x:c>
      <x:c r="D34" s="14" t="str">
        <x:v>Validate retrieval using exact control ID</x:v>
      </x:c>
      <x:c r="E34" s="14" t="str">
        <x:v>Verify control ID query returns the right control.</x:v>
      </x:c>
      <x:c r="F34" s="14" t="str">
        <x:v>Open WebUI is accessible. User is logged in. RAG/Knowledge Base and document upload features are enabled. Required test documents are available.</x:v>
      </x:c>
      <x:c r="G34" s="14" t="str">
        <x:v>Security Control Matrix PDF</x:v>
      </x:c>
      <x:c r="H34" s="14" t="str">
        <x:v>What is control SEC-AC-07?</x:v>
      </x:c>
      <x:c r="I34" s="14" t="str">
        <x:v>1. Login to Open WebUI with a valid test user account.
2. Start a new chat or RAG-enabled knowledge base session.
3. Upload or select test document set: Security Control Matrix PDF.
4. Submit the prompt.
5. Review the generated answer, retrieved sources, citations, and source snippets if displayed.
6. Compare the response against the source documents and record observations.</x:v>
      </x:c>
      <x:c r="J34" s="14" t="str">
        <x:v>AI should retrieve SEC-AC-07 and its exact control description.</x:v>
      </x:c>
      <x:c r="K34" s="14" t="str">
        <x:v>Validate: Correct Document Retrieved (Yes/No); Correct Citation Generated (Yes/No); Grounded Response (Yes/No); Hallucination Prevented (Yes/No); Source Attribution Correct (Yes/No); Missing Information Handled Correctly (Yes/No).</x:v>
      </x:c>
      <x:c r="L34" s="14" t="str"/>
      <x:c r="M34" s="14" t="str"/>
      <x:c r="N34" s="14" t="str"/>
      <x:c r="O34" s="14" t="str"/>
      <x:c r="P34" s="14" t="str"/>
      <x:c r="Q34" s="14" t="str"/>
      <x:c r="R34" s="14" t="str"/>
      <x:c r="S34" s="14" t="str">
        <x:v>Not Executed</x:v>
      </x:c>
      <x:c r="T34" s="14" t="str">
        <x:v>High</x:v>
      </x:c>
      <x:c r="U34" s="14" t="str">
        <x:v>High</x:v>
      </x:c>
    </x:row>
    <x:row r="35" ht="92" customHeight="1">
      <x:c r="A35" s="14" t="str">
        <x:v>OWUI-RAG-TC-034</x:v>
      </x:c>
      <x:c r="B35" s="14" t="str">
        <x:v>OWUI-TS-043</x:v>
      </x:c>
      <x:c r="C35" s="14" t="str">
        <x:v>Exact Match Retrieval</x:v>
      </x:c>
      <x:c r="D35" s="14" t="str">
        <x:v>Validate retrieval using exact table value label</x:v>
      </x:c>
      <x:c r="E35" s="14" t="str">
        <x:v>Verify exact label query retrieves the correct table row.</x:v>
      </x:c>
      <x:c r="F35" s="14" t="str">
        <x:v>Open WebUI is accessible. User is logged in. RAG/Knowledge Base and document upload features are enabled. Required test documents are available.</x:v>
      </x:c>
      <x:c r="G35" s="14" t="str">
        <x:v>Password Policy PDF with control table</x:v>
      </x:c>
      <x:c r="H35" s="14" t="str">
        <x:v>What value is listed for 'Minimum Password Length'?</x:v>
      </x:c>
      <x:c r="I35" s="14" t="str">
        <x:v>1. Login to Open WebUI with a valid test user account.
2. Start a new chat or RAG-enabled knowledge base session.
3. Upload or select test document set: Password Policy PDF with control table.
4. Submit the prompt.
5. Review the generated answer, retrieved sources, citations, and source snippets if displayed.
6. Compare the response against the source documents and record observations.</x:v>
      </x:c>
      <x:c r="J35" s="14" t="str">
        <x:v>AI should retrieve the row labeled Minimum Password Length and return the exact value.</x:v>
      </x:c>
      <x:c r="K35" s="14" t="str">
        <x:v>Validate: Correct Document Retrieved (Yes/No); Correct Citation Generated (Yes/No); Grounded Response (Yes/No); Hallucination Prevented (Yes/No); Source Attribution Correct (Yes/No); Missing Information Handled Correctly (Yes/No).</x:v>
      </x:c>
      <x:c r="L35" s="14" t="str"/>
      <x:c r="M35" s="14" t="str"/>
      <x:c r="N35" s="14" t="str"/>
      <x:c r="O35" s="14" t="str"/>
      <x:c r="P35" s="14" t="str"/>
      <x:c r="Q35" s="14" t="str"/>
      <x:c r="R35" s="14" t="str"/>
      <x:c r="S35" s="14" t="str">
        <x:v>Not Executed</x:v>
      </x:c>
      <x:c r="T35" s="14" t="str">
        <x:v>High</x:v>
      </x:c>
      <x:c r="U35" s="14" t="str">
        <x:v>High</x:v>
      </x:c>
    </x:row>
    <x:row r="36" ht="92" customHeight="1">
      <x:c r="A36" s="14" t="str">
        <x:v>OWUI-RAG-TC-035</x:v>
      </x:c>
      <x:c r="B36" s="14" t="str">
        <x:v>OWUI-TS-043</x:v>
      </x:c>
      <x:c r="C36" s="14" t="str">
        <x:v>Exact Match Retrieval</x:v>
      </x:c>
      <x:c r="D36" s="14" t="str">
        <x:v>Validate retrieval using exact policy title</x:v>
      </x:c>
      <x:c r="E36" s="14" t="str">
        <x:v>Verify exact title retrieves relevant document.</x:v>
      </x:c>
      <x:c r="F36" s="14" t="str">
        <x:v>Open WebUI is accessible. User is logged in. RAG/Knowledge Base and document upload features are enabled. Required test documents are available.</x:v>
      </x:c>
      <x:c r="G36" s="14" t="str">
        <x:v>HR Leave Policy PDF; Travel Policy PDF; Security Policy PDF</x:v>
      </x:c>
      <x:c r="H36" s="14" t="str">
        <x:v>Open the policy titled 'Travel Expense Reimbursement Policy' and summarize its purpose.</x:v>
      </x:c>
      <x:c r="I36" s="14" t="str">
        <x:v>1. Login to Open WebUI with a valid test user account.
2. Start a new chat or RAG-enabled knowledge base session.
3. Upload or select test document set: HR Leave Policy PDF; Travel Policy PDF; Security Policy PDF.
4. Submit the prompt.
5. Review the generated answer, retrieved sources, citations, and source snippets if displayed.
6. Compare the response against the source documents and record observations.</x:v>
      </x:c>
      <x:c r="J36" s="14" t="str">
        <x:v>AI should retrieve the Travel Expense Reimbursement Policy, not the HR or Security Policy.</x:v>
      </x:c>
      <x:c r="K36" s="14" t="str">
        <x:v>Validate: Correct Document Retrieved (Yes/No); Correct Citation Generated (Yes/No); Grounded Response (Yes/No); Hallucination Prevented (Yes/No); Source Attribution Correct (Yes/No); Missing Information Handled Correctly (Yes/No).</x:v>
      </x:c>
      <x:c r="L36" s="14" t="str"/>
      <x:c r="M36" s="14" t="str"/>
      <x:c r="N36" s="14" t="str"/>
      <x:c r="O36" s="14" t="str"/>
      <x:c r="P36" s="14" t="str"/>
      <x:c r="Q36" s="14" t="str"/>
      <x:c r="R36" s="14" t="str"/>
      <x:c r="S36" s="14" t="str">
        <x:v>Not Executed</x:v>
      </x:c>
      <x:c r="T36" s="14" t="str">
        <x:v>High</x:v>
      </x:c>
      <x:c r="U36" s="14" t="str">
        <x:v>High</x:v>
      </x:c>
    </x:row>
    <x:row r="37" ht="92" customHeight="1">
      <x:c r="A37" s="14" t="str">
        <x:v>OWUI-RAG-TC-036</x:v>
      </x:c>
      <x:c r="B37" s="14" t="str">
        <x:v>OWUI-TS-043</x:v>
      </x:c>
      <x:c r="C37" s="14" t="str">
        <x:v>Exact Match Retrieval</x:v>
      </x:c>
      <x:c r="D37" s="14" t="str">
        <x:v>Validate retrieval using exact error code</x:v>
      </x:c>
      <x:c r="E37" s="14" t="str">
        <x:v>Verify exact error code retrieves the matching troubleshooting entry.</x:v>
      </x:c>
      <x:c r="F37" s="14" t="str">
        <x:v>Open WebUI is accessible. User is logged in. RAG/Knowledge Base and document upload features are enabled. Required test documents are available.</x:v>
      </x:c>
      <x:c r="G37" s="14" t="str">
        <x:v>Open WebUI Troubleshooting Guide PDF</x:v>
      </x:c>
      <x:c r="H37" s="14" t="str">
        <x:v>What does error OWUI-UPLOAD-413 mean?</x:v>
      </x:c>
      <x:c r="I37" s="14" t="str">
        <x:v>1. Login to Open WebUI with a valid test user account.
2. Start a new chat or RAG-enabled knowledge base session.
3. Upload or select test document set: Open WebUI Troubleshooting Guide PDF.
4. Submit the prompt.
5. Review the generated answer, retrieved sources, citations, and source snippets if displayed.
6. Compare the response against the source documents and record observations.</x:v>
      </x:c>
      <x:c r="J37" s="14" t="str">
        <x:v>AI should retrieve the exact troubleshooting entry for OWUI-UPLOAD-413.</x:v>
      </x:c>
      <x:c r="K37" s="14" t="str">
        <x:v>Validate: Correct Document Retrieved (Yes/No); Correct Citation Generated (Yes/No); Grounded Response (Yes/No); Hallucination Prevented (Yes/No); Source Attribution Correct (Yes/No); Missing Information Handled Correctly (Yes/No).</x:v>
      </x:c>
      <x:c r="L37" s="14" t="str"/>
      <x:c r="M37" s="14" t="str"/>
      <x:c r="N37" s="14" t="str"/>
      <x:c r="O37" s="14" t="str"/>
      <x:c r="P37" s="14" t="str"/>
      <x:c r="Q37" s="14" t="str"/>
      <x:c r="R37" s="14" t="str"/>
      <x:c r="S37" s="14" t="str">
        <x:v>Not Executed</x:v>
      </x:c>
      <x:c r="T37" s="14" t="str">
        <x:v>High</x:v>
      </x:c>
      <x:c r="U37" s="14" t="str">
        <x:v>High</x:v>
      </x:c>
    </x:row>
    <x:row r="38" ht="92" customHeight="1">
      <x:c r="A38" s="14" t="str">
        <x:v>OWUI-RAG-TC-037</x:v>
      </x:c>
      <x:c r="B38" s="14" t="str">
        <x:v>OWUI-TS-043</x:v>
      </x:c>
      <x:c r="C38" s="14" t="str">
        <x:v>Exact Match Retrieval</x:v>
      </x:c>
      <x:c r="D38" s="14" t="str">
        <x:v>Validate retrieval using exact version number</x:v>
      </x:c>
      <x:c r="E38" s="14" t="str">
        <x:v>Verify exact version query retrieves correct release information.</x:v>
      </x:c>
      <x:c r="F38" s="14" t="str">
        <x:v>Open WebUI is accessible. User is logged in. RAG/Knowledge Base and document upload features are enabled. Required test documents are available.</x:v>
      </x:c>
      <x:c r="G38" s="14" t="str">
        <x:v>Open WebUI QA Release Notes v1.2-v1.5 PDF</x:v>
      </x:c>
      <x:c r="H38" s="14" t="str">
        <x:v>What changed in version 1.5.0?</x:v>
      </x:c>
      <x:c r="I38" s="14" t="str">
        <x:v>1. Login to Open WebUI with a valid test user account.
2. Start a new chat or RAG-enabled knowledge base session.
3. Upload or select test document set: Open WebUI QA Release Notes v1.2-v1.5 PDF.
4. Submit the prompt.
5. Review the generated answer, retrieved sources, citations, and source snippets if displayed.
6. Compare the response against the source documents and record observations.</x:v>
      </x:c>
      <x:c r="J38" s="14" t="str">
        <x:v>AI should retrieve only version 1.5.0 changes and not merge with other versions.</x:v>
      </x:c>
      <x:c r="K38" s="14" t="str">
        <x:v>Validate: Correct Document Retrieved (Yes/No); Correct Citation Generated (Yes/No); Grounded Response (Yes/No); Hallucination Prevented (Yes/No); Source Attribution Correct (Yes/No); Missing Information Handled Correctly (Yes/No).</x:v>
      </x:c>
      <x:c r="L38" s="14" t="str"/>
      <x:c r="M38" s="14" t="str"/>
      <x:c r="N38" s="14" t="str"/>
      <x:c r="O38" s="14" t="str"/>
      <x:c r="P38" s="14" t="str"/>
      <x:c r="Q38" s="14" t="str"/>
      <x:c r="R38" s="14" t="str"/>
      <x:c r="S38" s="14" t="str">
        <x:v>Not Executed</x:v>
      </x:c>
      <x:c r="T38" s="14" t="str">
        <x:v>High</x:v>
      </x:c>
      <x:c r="U38" s="14" t="str">
        <x:v>High</x:v>
      </x:c>
    </x:row>
    <x:row r="39" ht="92" customHeight="1">
      <x:c r="A39" s="14" t="str">
        <x:v>OWUI-RAG-TC-038</x:v>
      </x:c>
      <x:c r="B39" s="14" t="str">
        <x:v>OWUI-TS-043</x:v>
      </x:c>
      <x:c r="C39" s="14" t="str">
        <x:v>Exact Match Retrieval</x:v>
      </x:c>
      <x:c r="D39" s="14" t="str">
        <x:v>Validate retrieval using exact acronym</x:v>
      </x:c>
      <x:c r="E39" s="14" t="str">
        <x:v>Verify exact acronym query retrieves defined term.</x:v>
      </x:c>
      <x:c r="F39" s="14" t="str">
        <x:v>Open WebUI is accessible. User is logged in. RAG/Knowledge Base and document upload features are enabled. Required test documents are available.</x:v>
      </x:c>
      <x:c r="G39" s="14" t="str">
        <x:v>Data Governance Handbook PDF</x:v>
      </x:c>
      <x:c r="H39" s="14" t="str">
        <x:v>What does DPIA stand for in the glossary?</x:v>
      </x:c>
      <x:c r="I39" s="14" t="str">
        <x:v>1. Login to Open WebUI with a valid test user account.
2. Start a new chat or RAG-enabled knowledge base session.
3. Upload or select test document set: Data Governance Handbook PDF.
4. Submit the prompt.
5. Review the generated answer, retrieved sources, citations, and source snippets if displayed.
6. Compare the response against the source documents and record observations.</x:v>
      </x:c>
      <x:c r="J39" s="14" t="str">
        <x:v>AI should retrieve the exact glossary expansion and definition for DPIA.</x:v>
      </x:c>
      <x:c r="K39" s="14" t="str">
        <x:v>Validate: Correct Document Retrieved (Yes/No); Correct Citation Generated (Yes/No); Grounded Response (Yes/No); Hallucination Prevented (Yes/No); Source Attribution Correct (Yes/No); Missing Information Handled Correctly (Yes/No).</x:v>
      </x:c>
      <x:c r="L39" s="14" t="str"/>
      <x:c r="M39" s="14" t="str"/>
      <x:c r="N39" s="14" t="str"/>
      <x:c r="O39" s="14" t="str"/>
      <x:c r="P39" s="14" t="str"/>
      <x:c r="Q39" s="14" t="str"/>
      <x:c r="R39" s="14" t="str"/>
      <x:c r="S39" s="14" t="str">
        <x:v>Not Executed</x:v>
      </x:c>
      <x:c r="T39" s="14" t="str">
        <x:v>High</x:v>
      </x:c>
      <x:c r="U39" s="14" t="str">
        <x:v>High</x:v>
      </x:c>
    </x:row>
    <x:row r="40" ht="92" customHeight="1">
      <x:c r="A40" s="14" t="str">
        <x:v>OWUI-RAG-TC-039</x:v>
      </x:c>
      <x:c r="B40" s="14" t="str">
        <x:v>OWUI-TS-043</x:v>
      </x:c>
      <x:c r="C40" s="14" t="str">
        <x:v>Exact Match Retrieval</x:v>
      </x:c>
      <x:c r="D40" s="14" t="str">
        <x:v>Validate retrieval using exact SLA value</x:v>
      </x:c>
      <x:c r="E40" s="14" t="str">
        <x:v>Verify exact service level label retrieves the value.</x:v>
      </x:c>
      <x:c r="F40" s="14" t="str">
        <x:v>Open WebUI is accessible. User is logged in. RAG/Knowledge Base and document upload features are enabled. Required test documents are available.</x:v>
      </x:c>
      <x:c r="G40" s="14" t="str">
        <x:v>Incident Management SOP DOCX</x:v>
      </x:c>
      <x:c r="H40" s="14" t="str">
        <x:v>What is the response SLA for Severity 2?</x:v>
      </x:c>
      <x:c r="I40" s="14" t="str">
        <x:v>1. Login to Open WebUI with a valid test user account.
2. Start a new chat or RAG-enabled knowledge base session.
3. Upload or select test document set: Incident Management SOP DOCX.
4. Submit the prompt.
5. Review the generated answer, retrieved sources, citations, and source snippets if displayed.
6. Compare the response against the source documents and record observations.</x:v>
      </x:c>
      <x:c r="J40" s="14" t="str">
        <x:v>AI should retrieve the exact SLA for Severity 2 and not use Severity 1 or Severity 3.</x:v>
      </x:c>
      <x:c r="K40" s="14" t="str">
        <x:v>Validate: Correct Document Retrieved (Yes/No); Correct Citation Generated (Yes/No); Grounded Response (Yes/No); Hallucination Prevented (Yes/No); Source Attribution Correct (Yes/No); Missing Information Handled Correctly (Yes/No).</x:v>
      </x:c>
      <x:c r="L40" s="14" t="str"/>
      <x:c r="M40" s="14" t="str"/>
      <x:c r="N40" s="14" t="str"/>
      <x:c r="O40" s="14" t="str"/>
      <x:c r="P40" s="14" t="str"/>
      <x:c r="Q40" s="14" t="str"/>
      <x:c r="R40" s="14" t="str"/>
      <x:c r="S40" s="14" t="str">
        <x:v>Not Executed</x:v>
      </x:c>
      <x:c r="T40" s="14" t="str">
        <x:v>High</x:v>
      </x:c>
      <x:c r="U40" s="14" t="str">
        <x:v>High</x:v>
      </x:c>
    </x:row>
    <x:row r="41" ht="92" customHeight="1">
      <x:c r="A41" s="14" t="str">
        <x:v>OWUI-RAG-TC-040</x:v>
      </x:c>
      <x:c r="B41" s="14" t="str">
        <x:v>OWUI-TS-043</x:v>
      </x:c>
      <x:c r="C41" s="14" t="str">
        <x:v>Exact Match Retrieval</x:v>
      </x:c>
      <x:c r="D41" s="14" t="str">
        <x:v>Validate retrieval using exact document section title</x:v>
      </x:c>
      <x:c r="E41" s="14" t="str">
        <x:v>Verify section title query retrieves the target section.</x:v>
      </x:c>
      <x:c r="F41" s="14" t="str">
        <x:v>Open WebUI is accessible. User is logged in. RAG/Knowledge Base and document upload features are enabled. Required test documents are available.</x:v>
      </x:c>
      <x:c r="G41" s="14" t="str">
        <x:v>Vendor Risk Assessment Guide PDF</x:v>
      </x:c>
      <x:c r="H41" s="14" t="str">
        <x:v>Summarize the section titled 'Ongoing Monitoring'.</x:v>
      </x:c>
      <x:c r="I41" s="14" t="str">
        <x:v>1. Login to Open WebUI with a valid test user account.
2. Start a new chat or RAG-enabled knowledge base session.
3. Upload or select test document set: Vendor Risk Assessment Guide PDF.
4. Submit the prompt.
5. Review the generated answer, retrieved sources, citations, and source snippets if displayed.
6. Compare the response against the source documents and record observations.</x:v>
      </x:c>
      <x:c r="J41" s="14" t="str">
        <x:v>AI should retrieve and summarize only the Ongoing Monitoring section.</x:v>
      </x:c>
      <x:c r="K41" s="14" t="str">
        <x:v>Validate: Correct Document Retrieved (Yes/No); Correct Citation Generated (Yes/No); Grounded Response (Yes/No); Hallucination Prevented (Yes/No); Source Attribution Correct (Yes/No); Missing Information Handled Correctly (Yes/No).</x:v>
      </x:c>
      <x:c r="L41" s="14" t="str"/>
      <x:c r="M41" s="14" t="str"/>
      <x:c r="N41" s="14" t="str"/>
      <x:c r="O41" s="14" t="str"/>
      <x:c r="P41" s="14" t="str"/>
      <x:c r="Q41" s="14" t="str"/>
      <x:c r="R41" s="14" t="str"/>
      <x:c r="S41" s="14" t="str">
        <x:v>Not Executed</x:v>
      </x:c>
      <x:c r="T41" s="14" t="str">
        <x:v>High</x:v>
      </x:c>
      <x:c r="U41" s="14" t="str">
        <x:v>High</x:v>
      </x:c>
    </x:row>
    <x:row r="42" ht="92" customHeight="1">
      <x:c r="A42" s="14" t="str">
        <x:v>OWUI-RAG-TC-041</x:v>
      </x:c>
      <x:c r="B42" s="14" t="str">
        <x:v>OWUI-TS-043</x:v>
      </x:c>
      <x:c r="C42" s="14" t="str">
        <x:v>Exact Match Retrieval</x:v>
      </x:c>
      <x:c r="D42" s="14" t="str">
        <x:v>Validate retrieval using exact file type list</x:v>
      </x:c>
      <x:c r="E42" s="14" t="str">
        <x:v>Verify exact feature query retrieves supported file types.</x:v>
      </x:c>
      <x:c r="F42" s="14" t="str">
        <x:v>Open WebUI is accessible. User is logged in. RAG/Knowledge Base and document upload features are enabled. Required test documents are available.</x:v>
      </x:c>
      <x:c r="G42" s="14" t="str">
        <x:v>Open WebUI User FAQ PDF</x:v>
      </x:c>
      <x:c r="H42" s="14" t="str">
        <x:v>Which file types are supported for upload?</x:v>
      </x:c>
      <x:c r="I42"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42" s="14" t="str">
        <x:v>AI should retrieve the supported file type list from the FAQ and avoid unsupported file types.</x:v>
      </x:c>
      <x:c r="K42" s="14" t="str">
        <x:v>Validate: Correct Document Retrieved (Yes/No); Correct Citation Generated (Yes/No); Grounded Response (Yes/No); Hallucination Prevented (Yes/No); Source Attribution Correct (Yes/No); Missing Information Handled Correctly (Yes/No).</x:v>
      </x:c>
      <x:c r="L42" s="14" t="str"/>
      <x:c r="M42" s="14" t="str"/>
      <x:c r="N42" s="14" t="str"/>
      <x:c r="O42" s="14" t="str"/>
      <x:c r="P42" s="14" t="str"/>
      <x:c r="Q42" s="14" t="str"/>
      <x:c r="R42" s="14" t="str"/>
      <x:c r="S42" s="14" t="str">
        <x:v>Not Executed</x:v>
      </x:c>
      <x:c r="T42" s="14" t="str">
        <x:v>High</x:v>
      </x:c>
      <x:c r="U42" s="14" t="str">
        <x:v>High</x:v>
      </x:c>
    </x:row>
    <x:row r="43" ht="92" customHeight="1">
      <x:c r="A43" s="14" t="str">
        <x:v>OWUI-RAG-TC-042</x:v>
      </x:c>
      <x:c r="B43" s="14" t="str">
        <x:v>OWUI-TS-043</x:v>
      </x:c>
      <x:c r="C43" s="14" t="str">
        <x:v>Exact Match Retrieval</x:v>
      </x:c>
      <x:c r="D43" s="14" t="str">
        <x:v>Validate retrieval using exact risk ID</x:v>
      </x:c>
      <x:c r="E43" s="14" t="str">
        <x:v>Verify exact risk ID query retrieves correct risk details.</x:v>
      </x:c>
      <x:c r="F43" s="14" t="str">
        <x:v>Open WebUI is accessible. User is logged in. RAG/Knowledge Base and document upload features are enabled. Required test documents are available.</x:v>
      </x:c>
      <x:c r="G43" s="14" t="str">
        <x:v>GenAI QA Risk Register PDF</x:v>
      </x:c>
      <x:c r="H43" s="14" t="str">
        <x:v>What is risk RAG-HAL-003?</x:v>
      </x:c>
      <x:c r="I43" s="14" t="str">
        <x:v>1. Login to Open WebUI with a valid test user account.
2. Start a new chat or RAG-enabled knowledge base session.
3. Upload or select test document set: GenAI QA Risk Register PDF.
4. Submit the prompt.
5. Review the generated answer, retrieved sources, citations, and source snippets if displayed.
6. Compare the response against the source documents and record observations.</x:v>
      </x:c>
      <x:c r="J43" s="14" t="str">
        <x:v>AI should retrieve the exact risk RAG-HAL-003 and provide its description, impact, and mitigation if present.</x:v>
      </x:c>
      <x:c r="K43" s="14" t="str">
        <x:v>Validate: Correct Document Retrieved (Yes/No); Correct Citation Generated (Yes/No); Grounded Response (Yes/No); Hallucination Prevented (Yes/No); Source Attribution Correct (Yes/No); Missing Information Handled Correctly (Yes/No).</x:v>
      </x:c>
      <x:c r="L43" s="14" t="str"/>
      <x:c r="M43" s="14" t="str"/>
      <x:c r="N43" s="14" t="str"/>
      <x:c r="O43" s="14" t="str"/>
      <x:c r="P43" s="14" t="str"/>
      <x:c r="Q43" s="14" t="str"/>
      <x:c r="R43" s="14" t="str"/>
      <x:c r="S43" s="14" t="str">
        <x:v>Not Executed</x:v>
      </x:c>
      <x:c r="T43" s="14" t="str">
        <x:v>High</x:v>
      </x:c>
      <x:c r="U43" s="14" t="str">
        <x:v>High</x:v>
      </x:c>
    </x:row>
    <x:row r="44" ht="92" customHeight="1">
      <x:c r="A44" s="14" t="str">
        <x:v>OWUI-RAG-TC-043</x:v>
      </x:c>
      <x:c r="B44" s="14" t="str">
        <x:v>OWUI-TS-044</x:v>
      </x:c>
      <x:c r="C44" s="14" t="str">
        <x:v>Semantic Retrieval</x:v>
      </x:c>
      <x:c r="D44" s="14" t="str">
        <x:v>Validate synonym-based retrieval for password reset</x:v>
      </x:c>
      <x:c r="E44" s="14" t="str">
        <x:v>Verify rephrased query retrieves password reset FAQ.</x:v>
      </x:c>
      <x:c r="F44" s="14" t="str">
        <x:v>Open WebUI is accessible. User is logged in. RAG/Knowledge Base and document upload features are enabled. Required test documents are available.</x:v>
      </x:c>
      <x:c r="G44" s="14" t="str">
        <x:v>Open WebUI User FAQ PDF</x:v>
      </x:c>
      <x:c r="H44" s="14" t="str">
        <x:v>How can a user regain access if they forgot their login secret?</x:v>
      </x:c>
      <x:c r="I44"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44" s="14" t="str">
        <x:v>AI should semantically retrieve the password reset guidance even though the prompt does not use the exact phrase 'forgot password'.</x:v>
      </x:c>
      <x:c r="K44" s="14" t="str">
        <x:v>Validate: Correct Document Retrieved (Yes/No); Correct Citation Generated (Yes/No); Grounded Response (Yes/No); Hallucination Prevented (Yes/No); Source Attribution Correct (Yes/No); Missing Information Handled Correctly (Yes/No).</x:v>
      </x:c>
      <x:c r="L44" s="14" t="str"/>
      <x:c r="M44" s="14" t="str"/>
      <x:c r="N44" s="14" t="str"/>
      <x:c r="O44" s="14" t="str"/>
      <x:c r="P44" s="14" t="str"/>
      <x:c r="Q44" s="14" t="str"/>
      <x:c r="R44" s="14" t="str"/>
      <x:c r="S44" s="14" t="str">
        <x:v>Not Executed</x:v>
      </x:c>
      <x:c r="T44" s="14" t="str">
        <x:v>High</x:v>
      </x:c>
      <x:c r="U44" s="14" t="str">
        <x:v>High</x:v>
      </x:c>
    </x:row>
    <x:row r="45" ht="92" customHeight="1">
      <x:c r="A45" s="14" t="str">
        <x:v>OWUI-RAG-TC-044</x:v>
      </x:c>
      <x:c r="B45" s="14" t="str">
        <x:v>OWUI-TS-044</x:v>
      </x:c>
      <x:c r="C45" s="14" t="str">
        <x:v>Semantic Retrieval</x:v>
      </x:c>
      <x:c r="D45" s="14" t="str">
        <x:v>Validate semantic retrieval for access review</x:v>
      </x:c>
      <x:c r="E45" s="14" t="str">
        <x:v>Verify natural language query retrieves access governance content.</x:v>
      </x:c>
      <x:c r="F45" s="14" t="str">
        <x:v>Open WebUI is accessible. User is logged in. RAG/Knowledge Base and document upload features are enabled. Required test documents are available.</x:v>
      </x:c>
      <x:c r="G45" s="14" t="str">
        <x:v>Enterprise Security Policy v2.1 PDF</x:v>
      </x:c>
      <x:c r="H45" s="14" t="str">
        <x:v>Who checks whether users still need their permissions?</x:v>
      </x:c>
      <x:c r="I45" s="14" t="str">
        <x:v>1. Login to Open WebUI with a valid test user account.
2. Start a new chat or RAG-enabled knowledge base session.
3. Upload or select test document set: Enterprise Security Policy v2.1 PDF.
4. Submit the prompt.
5. Review the generated answer, retrieved sources, citations, and source snippets if displayed.
6. Compare the response against the source documents and record observations.</x:v>
      </x:c>
      <x:c r="J45" s="14" t="str">
        <x:v>AI should retrieve access review governance information and answer based on the correct section.</x:v>
      </x:c>
      <x:c r="K45" s="14" t="str">
        <x:v>Validate: Correct Document Retrieved (Yes/No); Correct Citation Generated (Yes/No); Grounded Response (Yes/No); Hallucination Prevented (Yes/No); Source Attribution Correct (Yes/No); Missing Information Handled Correctly (Yes/No).</x:v>
      </x:c>
      <x:c r="L45" s="14" t="str"/>
      <x:c r="M45" s="14" t="str"/>
      <x:c r="N45" s="14" t="str"/>
      <x:c r="O45" s="14" t="str"/>
      <x:c r="P45" s="14" t="str"/>
      <x:c r="Q45" s="14" t="str"/>
      <x:c r="R45" s="14" t="str"/>
      <x:c r="S45" s="14" t="str">
        <x:v>Not Executed</x:v>
      </x:c>
      <x:c r="T45" s="14" t="str">
        <x:v>High</x:v>
      </x:c>
      <x:c r="U45" s="14" t="str">
        <x:v>High</x:v>
      </x:c>
    </x:row>
    <x:row r="46" ht="92" customHeight="1">
      <x:c r="A46" s="14" t="str">
        <x:v>OWUI-RAG-TC-045</x:v>
      </x:c>
      <x:c r="B46" s="14" t="str">
        <x:v>OWUI-TS-044</x:v>
      </x:c>
      <x:c r="C46" s="14" t="str">
        <x:v>Semantic Retrieval</x:v>
      </x:c>
      <x:c r="D46" s="14" t="str">
        <x:v>Validate semantic retrieval for leave carry forward</x:v>
      </x:c>
      <x:c r="E46" s="14" t="str">
        <x:v>Verify rephrased wording retrieves leave carry-forward policy.</x:v>
      </x:c>
      <x:c r="F46" s="14" t="str">
        <x:v>Open WebUI is accessible. User is logged in. RAG/Knowledge Base and document upload features are enabled. Required test documents are available.</x:v>
      </x:c>
      <x:c r="G46" s="14" t="str">
        <x:v>HR Leave Policy PDF</x:v>
      </x:c>
      <x:c r="H46" s="14" t="str">
        <x:v>Can unused vacation days be moved into the next year?</x:v>
      </x:c>
      <x:c r="I46" s="14" t="str">
        <x:v>1. Login to Open WebUI with a valid test user account.
2. Start a new chat or RAG-enabled knowledge base session.
3. Upload or select test document set: HR Leave Policy PDF.
4. Submit the prompt.
5. Review the generated answer, retrieved sources, citations, and source snippets if displayed.
6. Compare the response against the source documents and record observations.</x:v>
      </x:c>
      <x:c r="J46" s="14" t="str">
        <x:v>AI should retrieve the annual leave carry-forward section and answer with documented limits.</x:v>
      </x:c>
      <x:c r="K46" s="14" t="str">
        <x:v>Validate: Correct Document Retrieved (Yes/No); Correct Citation Generated (Yes/No); Grounded Response (Yes/No); Hallucination Prevented (Yes/No); Source Attribution Correct (Yes/No); Missing Information Handled Correctly (Yes/No).</x:v>
      </x:c>
      <x:c r="L46" s="14" t="str"/>
      <x:c r="M46" s="14" t="str"/>
      <x:c r="N46" s="14" t="str"/>
      <x:c r="O46" s="14" t="str"/>
      <x:c r="P46" s="14" t="str"/>
      <x:c r="Q46" s="14" t="str"/>
      <x:c r="R46" s="14" t="str"/>
      <x:c r="S46" s="14" t="str">
        <x:v>Not Executed</x:v>
      </x:c>
      <x:c r="T46" s="14" t="str">
        <x:v>High</x:v>
      </x:c>
      <x:c r="U46" s="14" t="str">
        <x:v>High</x:v>
      </x:c>
    </x:row>
    <x:row r="47" ht="92" customHeight="1">
      <x:c r="A47" s="14" t="str">
        <x:v>OWUI-RAG-TC-046</x:v>
      </x:c>
      <x:c r="B47" s="14" t="str">
        <x:v>OWUI-TS-044</x:v>
      </x:c>
      <x:c r="C47" s="14" t="str">
        <x:v>Semantic Retrieval</x:v>
      </x:c>
      <x:c r="D47" s="14" t="str">
        <x:v>Validate semantic retrieval for incident escalation</x:v>
      </x:c>
      <x:c r="E47" s="14" t="str">
        <x:v>Verify indirect query retrieves severity escalation rules.</x:v>
      </x:c>
      <x:c r="F47" s="14" t="str">
        <x:v>Open WebUI is accessible. User is logged in. RAG/Knowledge Base and document upload features are enabled. Required test documents are available.</x:v>
      </x:c>
      <x:c r="G47" s="14" t="str">
        <x:v>Incident Management SOP DOCX</x:v>
      </x:c>
      <x:c r="H47" s="14" t="str">
        <x:v>What happens if a production issue is very serious and needs immediate attention?</x:v>
      </x:c>
      <x:c r="I47" s="14" t="str">
        <x:v>1. Login to Open WebUI with a valid test user account.
2. Start a new chat or RAG-enabled knowledge base session.
3. Upload or select test document set: Incident Management SOP DOCX.
4. Submit the prompt.
5. Review the generated answer, retrieved sources, citations, and source snippets if displayed.
6. Compare the response against the source documents and record observations.</x:v>
      </x:c>
      <x:c r="J47" s="14" t="str">
        <x:v>AI should retrieve Severity 1 or critical incident escalation rules and avoid generic incident advice.</x:v>
      </x:c>
      <x:c r="K47" s="14" t="str">
        <x:v>Validate: Correct Document Retrieved (Yes/No); Correct Citation Generated (Yes/No); Grounded Response (Yes/No); Hallucination Prevented (Yes/No); Source Attribution Correct (Yes/No); Missing Information Handled Correctly (Yes/No).</x:v>
      </x:c>
      <x:c r="L47" s="14" t="str"/>
      <x:c r="M47" s="14" t="str"/>
      <x:c r="N47" s="14" t="str"/>
      <x:c r="O47" s="14" t="str"/>
      <x:c r="P47" s="14" t="str"/>
      <x:c r="Q47" s="14" t="str"/>
      <x:c r="R47" s="14" t="str"/>
      <x:c r="S47" s="14" t="str">
        <x:v>Not Executed</x:v>
      </x:c>
      <x:c r="T47" s="14" t="str">
        <x:v>High</x:v>
      </x:c>
      <x:c r="U47" s="14" t="str">
        <x:v>High</x:v>
      </x:c>
    </x:row>
    <x:row r="48" ht="92" customHeight="1">
      <x:c r="A48" s="14" t="str">
        <x:v>OWUI-RAG-TC-047</x:v>
      </x:c>
      <x:c r="B48" s="14" t="str">
        <x:v>OWUI-TS-044</x:v>
      </x:c>
      <x:c r="C48" s="14" t="str">
        <x:v>Semantic Retrieval</x:v>
      </x:c>
      <x:c r="D48" s="14" t="str">
        <x:v>Validate semantic retrieval for vendor monitoring</x:v>
      </x:c>
      <x:c r="E48" s="14" t="str">
        <x:v>Verify synonym query retrieves ongoing monitoring section.</x:v>
      </x:c>
      <x:c r="F48" s="14" t="str">
        <x:v>Open WebUI is accessible. User is logged in. RAG/Knowledge Base and document upload features are enabled. Required test documents are available.</x:v>
      </x:c>
      <x:c r="G48" s="14" t="str">
        <x:v>Vendor Risk Assessment Guide PDF</x:v>
      </x:c>
      <x:c r="H48" s="14" t="str">
        <x:v>How do we keep checking vendors after onboarding?</x:v>
      </x:c>
      <x:c r="I48" s="14" t="str">
        <x:v>1. Login to Open WebUI with a valid test user account.
2. Start a new chat or RAG-enabled knowledge base session.
3. Upload or select test document set: Vendor Risk Assessment Guide PDF.
4. Submit the prompt.
5. Review the generated answer, retrieved sources, citations, and source snippets if displayed.
6. Compare the response against the source documents and record observations.</x:v>
      </x:c>
      <x:c r="J48" s="14" t="str">
        <x:v>AI should retrieve ongoing vendor monitoring requirements using semantic matching.</x:v>
      </x:c>
      <x:c r="K48" s="14" t="str">
        <x:v>Validate: Correct Document Retrieved (Yes/No); Correct Citation Generated (Yes/No); Grounded Response (Yes/No); Hallucination Prevented (Yes/No); Source Attribution Correct (Yes/No); Missing Information Handled Correctly (Yes/No).</x:v>
      </x:c>
      <x:c r="L48" s="14" t="str"/>
      <x:c r="M48" s="14" t="str"/>
      <x:c r="N48" s="14" t="str"/>
      <x:c r="O48" s="14" t="str"/>
      <x:c r="P48" s="14" t="str"/>
      <x:c r="Q48" s="14" t="str"/>
      <x:c r="R48" s="14" t="str"/>
      <x:c r="S48" s="14" t="str">
        <x:v>Not Executed</x:v>
      </x:c>
      <x:c r="T48" s="14" t="str">
        <x:v>High</x:v>
      </x:c>
      <x:c r="U48" s="14" t="str">
        <x:v>High</x:v>
      </x:c>
    </x:row>
    <x:row r="49" ht="92" customHeight="1">
      <x:c r="A49" s="14" t="str">
        <x:v>OWUI-RAG-TC-048</x:v>
      </x:c>
      <x:c r="B49" s="14" t="str">
        <x:v>OWUI-TS-044</x:v>
      </x:c>
      <x:c r="C49" s="14" t="str">
        <x:v>Semantic Retrieval</x:v>
      </x:c>
      <x:c r="D49" s="14" t="str">
        <x:v>Validate semantic retrieval for data deletion</x:v>
      </x:c>
      <x:c r="E49" s="14" t="str">
        <x:v>Verify rephrased query retrieves retention/deletion rules.</x:v>
      </x:c>
      <x:c r="F49" s="14" t="str">
        <x:v>Open WebUI is accessible. User is logged in. RAG/Knowledge Base and document upload features are enabled. Required test documents are available.</x:v>
      </x:c>
      <x:c r="G49" s="14" t="str">
        <x:v>Data Retention Policy PDF</x:v>
      </x:c>
      <x:c r="H49" s="14" t="str">
        <x:v>When should old customer information be removed from systems?</x:v>
      </x:c>
      <x:c r="I49" s="14" t="str">
        <x:v>1. Login to Open WebUI with a valid test user account.
2. Start a new chat or RAG-enabled knowledge base session.
3. Upload or select test document set: Data Retention Policy PDF.
4. Submit the prompt.
5. Review the generated answer, retrieved sources, citations, and source snippets if displayed.
6. Compare the response against the source documents and record observations.</x:v>
      </x:c>
      <x:c r="J49" s="14" t="str">
        <x:v>AI should retrieve customer data retention/deletion content and answer from the policy.</x:v>
      </x:c>
      <x:c r="K49" s="14" t="str">
        <x:v>Validate: Correct Document Retrieved (Yes/No); Correct Citation Generated (Yes/No); Grounded Response (Yes/No); Hallucination Prevented (Yes/No); Source Attribution Correct (Yes/No); Missing Information Handled Correctly (Yes/No).</x:v>
      </x:c>
      <x:c r="L49" s="14" t="str"/>
      <x:c r="M49" s="14" t="str"/>
      <x:c r="N49" s="14" t="str"/>
      <x:c r="O49" s="14" t="str"/>
      <x:c r="P49" s="14" t="str"/>
      <x:c r="Q49" s="14" t="str"/>
      <x:c r="R49" s="14" t="str"/>
      <x:c r="S49" s="14" t="str">
        <x:v>Not Executed</x:v>
      </x:c>
      <x:c r="T49" s="14" t="str">
        <x:v>High</x:v>
      </x:c>
      <x:c r="U49" s="14" t="str">
        <x:v>High</x:v>
      </x:c>
    </x:row>
    <x:row r="50" ht="92" customHeight="1">
      <x:c r="A50" s="14" t="str">
        <x:v>OWUI-RAG-TC-049</x:v>
      </x:c>
      <x:c r="B50" s="14" t="str">
        <x:v>OWUI-TS-044</x:v>
      </x:c>
      <x:c r="C50" s="14" t="str">
        <x:v>Semantic Retrieval</x:v>
      </x:c>
      <x:c r="D50" s="14" t="str">
        <x:v>Validate semantic retrieval for restricted tools</x:v>
      </x:c>
      <x:c r="E50" s="14" t="str">
        <x:v>Verify natural language query retrieves acceptable software usage restrictions.</x:v>
      </x:c>
      <x:c r="F50" s="14" t="str">
        <x:v>Open WebUI is accessible. User is logged in. RAG/Knowledge Base and document upload features are enabled. Required test documents are available.</x:v>
      </x:c>
      <x:c r="G50" s="14" t="str">
        <x:v>Acceptable Use Policy DOCX</x:v>
      </x:c>
      <x:c r="H50" s="14" t="str">
        <x:v>Are employees allowed to install random productivity tools?</x:v>
      </x:c>
      <x:c r="I50" s="14" t="str">
        <x:v>1. Login to Open WebUI with a valid test user account.
2. Start a new chat or RAG-enabled knowledge base session.
3. Upload or select test document set: Acceptable Use Policy DOCX.
4. Submit the prompt.
5. Review the generated answer, retrieved sources, citations, and source snippets if displayed.
6. Compare the response against the source documents and record observations.</x:v>
      </x:c>
      <x:c r="J50" s="14" t="str">
        <x:v>AI should retrieve restricted or approved software usage sections and respond based on policy.</x:v>
      </x:c>
      <x:c r="K50" s="14" t="str">
        <x:v>Validate: Correct Document Retrieved (Yes/No); Correct Citation Generated (Yes/No); Grounded Response (Yes/No); Hallucination Prevented (Yes/No); Source Attribution Correct (Yes/No); Missing Information Handled Correctly (Yes/No).</x:v>
      </x:c>
      <x:c r="L50" s="14" t="str"/>
      <x:c r="M50" s="14" t="str"/>
      <x:c r="N50" s="14" t="str"/>
      <x:c r="O50" s="14" t="str"/>
      <x:c r="P50" s="14" t="str"/>
      <x:c r="Q50" s="14" t="str"/>
      <x:c r="R50" s="14" t="str"/>
      <x:c r="S50" s="14" t="str">
        <x:v>Not Executed</x:v>
      </x:c>
      <x:c r="T50" s="14" t="str">
        <x:v>High</x:v>
      </x:c>
      <x:c r="U50" s="14" t="str">
        <x:v>High</x:v>
      </x:c>
    </x:row>
    <x:row r="51" ht="92" customHeight="1">
      <x:c r="A51" s="14" t="str">
        <x:v>OWUI-RAG-TC-050</x:v>
      </x:c>
      <x:c r="B51" s="14" t="str">
        <x:v>OWUI-TS-044</x:v>
      </x:c>
      <x:c r="C51" s="14" t="str">
        <x:v>Semantic Retrieval</x:v>
      </x:c>
      <x:c r="D51" s="14" t="str">
        <x:v>Validate semantic retrieval for audit evidence</x:v>
      </x:c>
      <x:c r="E51" s="14" t="str">
        <x:v>Verify indirect query retrieves audit evidence requirements.</x:v>
      </x:c>
      <x:c r="F51" s="14" t="str">
        <x:v>Open WebUI is accessible. User is logged in. RAG/Knowledge Base and document upload features are enabled. Required test documents are available.</x:v>
      </x:c>
      <x:c r="G51" s="14" t="str">
        <x:v>Security Control Matrix PDF</x:v>
      </x:c>
      <x:c r="H51" s="14" t="str">
        <x:v>What proof do we need to show that access reviews were performed?</x:v>
      </x:c>
      <x:c r="I51" s="14" t="str">
        <x:v>1. Login to Open WebUI with a valid test user account.
2. Start a new chat or RAG-enabled knowledge base session.
3. Upload or select test document set: Security Control Matrix PDF.
4. Submit the prompt.
5. Review the generated answer, retrieved sources, citations, and source snippets if displayed.
6. Compare the response against the source documents and record observations.</x:v>
      </x:c>
      <x:c r="J51" s="14" t="str">
        <x:v>AI should retrieve evidence requirements for access review controls.</x:v>
      </x:c>
      <x:c r="K51" s="14" t="str">
        <x:v>Validate: Correct Document Retrieved (Yes/No); Correct Citation Generated (Yes/No); Grounded Response (Yes/No); Hallucination Prevented (Yes/No); Source Attribution Correct (Yes/No); Missing Information Handled Correctly (Yes/No).</x:v>
      </x:c>
      <x:c r="L51" s="14" t="str"/>
      <x:c r="M51" s="14" t="str"/>
      <x:c r="N51" s="14" t="str"/>
      <x:c r="O51" s="14" t="str"/>
      <x:c r="P51" s="14" t="str"/>
      <x:c r="Q51" s="14" t="str"/>
      <x:c r="R51" s="14" t="str"/>
      <x:c r="S51" s="14" t="str">
        <x:v>Not Executed</x:v>
      </x:c>
      <x:c r="T51" s="14" t="str">
        <x:v>High</x:v>
      </x:c>
      <x:c r="U51" s="14" t="str">
        <x:v>High</x:v>
      </x:c>
    </x:row>
    <x:row r="52" ht="92" customHeight="1">
      <x:c r="A52" s="14" t="str">
        <x:v>OWUI-RAG-TC-051</x:v>
      </x:c>
      <x:c r="B52" s="14" t="str">
        <x:v>OWUI-TS-044</x:v>
      </x:c>
      <x:c r="C52" s="14" t="str">
        <x:v>Semantic Retrieval</x:v>
      </x:c>
      <x:c r="D52" s="14" t="str">
        <x:v>Validate semantic retrieval for user settings</x:v>
      </x:c>
      <x:c r="E52" s="14" t="str">
        <x:v>Verify natural language query retrieves user settings FAQ.</x:v>
      </x:c>
      <x:c r="F52" s="14" t="str">
        <x:v>Open WebUI is accessible. User is logged in. RAG/Knowledge Base and document upload features are enabled. Required test documents are available.</x:v>
      </x:c>
      <x:c r="G52" s="14" t="str">
        <x:v>Open WebUI User Guide PDF</x:v>
      </x:c>
      <x:c r="H52" s="14" t="str">
        <x:v>Where can someone change how the chat interface looks?</x:v>
      </x:c>
      <x:c r="I52" s="14" t="str">
        <x:v>1. Login to Open WebUI with a valid test user account.
2. Start a new chat or RAG-enabled knowledge base session.
3. Upload or select test document set: Open WebUI User Guide PDF.
4. Submit the prompt.
5. Review the generated answer, retrieved sources, citations, and source snippets if displayed.
6. Compare the response against the source documents and record observations.</x:v>
      </x:c>
      <x:c r="J52" s="14" t="str">
        <x:v>AI should retrieve user settings or theme preference instructions from the guide.</x:v>
      </x:c>
      <x:c r="K52" s="14" t="str">
        <x:v>Validate: Correct Document Retrieved (Yes/No); Correct Citation Generated (Yes/No); Grounded Response (Yes/No); Hallucination Prevented (Yes/No); Source Attribution Correct (Yes/No); Missing Information Handled Correctly (Yes/No).</x:v>
      </x:c>
      <x:c r="L52" s="14" t="str"/>
      <x:c r="M52" s="14" t="str"/>
      <x:c r="N52" s="14" t="str"/>
      <x:c r="O52" s="14" t="str"/>
      <x:c r="P52" s="14" t="str"/>
      <x:c r="Q52" s="14" t="str"/>
      <x:c r="R52" s="14" t="str"/>
      <x:c r="S52" s="14" t="str">
        <x:v>Not Executed</x:v>
      </x:c>
      <x:c r="T52" s="14" t="str">
        <x:v>High</x:v>
      </x:c>
      <x:c r="U52" s="14" t="str">
        <x:v>High</x:v>
      </x:c>
    </x:row>
    <x:row r="53" ht="92" customHeight="1">
      <x:c r="A53" s="14" t="str">
        <x:v>OWUI-RAG-TC-052</x:v>
      </x:c>
      <x:c r="B53" s="14" t="str">
        <x:v>OWUI-TS-044</x:v>
      </x:c>
      <x:c r="C53" s="14" t="str">
        <x:v>Semantic Retrieval</x:v>
      </x:c>
      <x:c r="D53" s="14" t="str">
        <x:v>Validate semantic retrieval for RAG citations</x:v>
      </x:c>
      <x:c r="E53" s="14" t="str">
        <x:v>Verify rephrased query retrieves citation validation guidance.</x:v>
      </x:c>
      <x:c r="F53" s="14" t="str">
        <x:v>Open WebUI is accessible. User is logged in. RAG/Knowledge Base and document upload features are enabled. Required test documents are available.</x:v>
      </x:c>
      <x:c r="G53" s="14" t="str">
        <x:v>GenAI QA Test Strategy PDF</x:v>
      </x:c>
      <x:c r="H53" s="14" t="str">
        <x:v>How do we check that answers are supported by documents?</x:v>
      </x:c>
      <x:c r="I53" s="14" t="str">
        <x:v>1. Login to Open WebUI with a valid test user account.
2. Start a new chat or RAG-enabled knowledge base session.
3. Upload or select test document set: GenAI QA Test Strategy PDF.
4. Submit the prompt.
5. Review the generated answer, retrieved sources, citations, and source snippets if displayed.
6. Compare the response against the source documents and record observations.</x:v>
      </x:c>
      <x:c r="J53" s="14" t="str">
        <x:v>AI should retrieve RAG grounding/citation validation guidance from the test strategy.</x:v>
      </x:c>
      <x:c r="K53" s="14" t="str">
        <x:v>Validate: Correct Document Retrieved (Yes/No); Correct Citation Generated (Yes/No); Grounded Response (Yes/No); Hallucination Prevented (Yes/No); Source Attribution Correct (Yes/No); Missing Information Handled Correctly (Yes/No).</x:v>
      </x:c>
      <x:c r="L53" s="14" t="str"/>
      <x:c r="M53" s="14" t="str"/>
      <x:c r="N53" s="14" t="str"/>
      <x:c r="O53" s="14" t="str"/>
      <x:c r="P53" s="14" t="str"/>
      <x:c r="Q53" s="14" t="str"/>
      <x:c r="R53" s="14" t="str"/>
      <x:c r="S53" s="14" t="str">
        <x:v>Not Executed</x:v>
      </x:c>
      <x:c r="T53" s="14" t="str">
        <x:v>High</x:v>
      </x:c>
      <x:c r="U53" s="14" t="str">
        <x:v>High</x:v>
      </x:c>
    </x:row>
    <x:row r="54" ht="92" customHeight="1">
      <x:c r="A54" s="14" t="str">
        <x:v>OWUI-RAG-TC-053</x:v>
      </x:c>
      <x:c r="B54" s="14" t="str">
        <x:v>OWUI-TS-044</x:v>
      </x:c>
      <x:c r="C54" s="14" t="str">
        <x:v>Semantic Retrieval</x:v>
      </x:c>
      <x:c r="D54" s="14" t="str">
        <x:v>Validate semantic retrieval for model selection</x:v>
      </x:c>
      <x:c r="E54" s="14" t="str">
        <x:v>Verify indirect query retrieves model selection documentation.</x:v>
      </x:c>
      <x:c r="F54" s="14" t="str">
        <x:v>Open WebUI is accessible. User is logged in. RAG/Knowledge Base and document upload features are enabled. Required test documents are available.</x:v>
      </x:c>
      <x:c r="G54" s="14" t="str">
        <x:v>Open WebUI Admin Guide PDF</x:v>
      </x:c>
      <x:c r="H54" s="14" t="str">
        <x:v>How can an admin choose which LLM users interact with?</x:v>
      </x:c>
      <x:c r="I54" s="14" t="str">
        <x:v>1. Login to Open WebUI with a valid test user account.
2. Start a new chat or RAG-enabled knowledge base session.
3. Upload or select test document set: Open WebUI Admin Guide PDF.
4. Submit the prompt.
5. Review the generated answer, retrieved sources, citations, and source snippets if displayed.
6. Compare the response against the source documents and record observations.</x:v>
      </x:c>
      <x:c r="J54" s="14" t="str">
        <x:v>AI should retrieve model selection/configuration guidance from the admin guide.</x:v>
      </x:c>
      <x:c r="K54" s="14" t="str">
        <x:v>Validate: Correct Document Retrieved (Yes/No); Correct Citation Generated (Yes/No); Grounded Response (Yes/No); Hallucination Prevented (Yes/No); Source Attribution Correct (Yes/No); Missing Information Handled Correctly (Yes/No).</x:v>
      </x:c>
      <x:c r="L54" s="14" t="str"/>
      <x:c r="M54" s="14" t="str"/>
      <x:c r="N54" s="14" t="str"/>
      <x:c r="O54" s="14" t="str"/>
      <x:c r="P54" s="14" t="str"/>
      <x:c r="Q54" s="14" t="str"/>
      <x:c r="R54" s="14" t="str"/>
      <x:c r="S54" s="14" t="str">
        <x:v>Not Executed</x:v>
      </x:c>
      <x:c r="T54" s="14" t="str">
        <x:v>High</x:v>
      </x:c>
      <x:c r="U54" s="14" t="str">
        <x:v>High</x:v>
      </x:c>
    </x:row>
    <x:row r="55" ht="92" customHeight="1">
      <x:c r="A55" s="14" t="str">
        <x:v>OWUI-RAG-TC-054</x:v>
      </x:c>
      <x:c r="B55" s="14" t="str">
        <x:v>OWUI-TS-044</x:v>
      </x:c>
      <x:c r="C55" s="14" t="str">
        <x:v>Semantic Retrieval</x:v>
      </x:c>
      <x:c r="D55" s="14" t="str">
        <x:v>Validate semantic retrieval for file size</x:v>
      </x:c>
      <x:c r="E55" s="14" t="str">
        <x:v>Verify rephrased query retrieves upload limit details.</x:v>
      </x:c>
      <x:c r="F55" s="14" t="str">
        <x:v>Open WebUI is accessible. User is logged in. RAG/Knowledge Base and document upload features are enabled. Required test documents are available.</x:v>
      </x:c>
      <x:c r="G55" s="14" t="str">
        <x:v>Open WebUI User FAQ PDF</x:v>
      </x:c>
      <x:c r="H55" s="14" t="str">
        <x:v>What happens if the document I upload is too big?</x:v>
      </x:c>
      <x:c r="I55"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55" s="14" t="str">
        <x:v>AI should retrieve file size limit or upload error guidance from the FAQ.</x:v>
      </x:c>
      <x:c r="K55" s="14" t="str">
        <x:v>Validate: Correct Document Retrieved (Yes/No); Correct Citation Generated (Yes/No); Grounded Response (Yes/No); Hallucination Prevented (Yes/No); Source Attribution Correct (Yes/No); Missing Information Handled Correctly (Yes/No).</x:v>
      </x:c>
      <x:c r="L55" s="14" t="str"/>
      <x:c r="M55" s="14" t="str"/>
      <x:c r="N55" s="14" t="str"/>
      <x:c r="O55" s="14" t="str"/>
      <x:c r="P55" s="14" t="str"/>
      <x:c r="Q55" s="14" t="str"/>
      <x:c r="R55" s="14" t="str"/>
      <x:c r="S55" s="14" t="str">
        <x:v>Not Executed</x:v>
      </x:c>
      <x:c r="T55" s="14" t="str">
        <x:v>High</x:v>
      </x:c>
      <x:c r="U55" s="14" t="str">
        <x:v>High</x:v>
      </x:c>
    </x:row>
    <x:row r="56" ht="92" customHeight="1">
      <x:c r="A56" s="14" t="str">
        <x:v>OWUI-RAG-TC-055</x:v>
      </x:c>
      <x:c r="B56" s="14" t="str">
        <x:v>OWUI-TS-044</x:v>
      </x:c>
      <x:c r="C56" s="14" t="str">
        <x:v>Semantic Retrieval</x:v>
      </x:c>
      <x:c r="D56" s="14" t="str">
        <x:v>Validate semantic retrieval for policy exception</x:v>
      </x:c>
      <x:c r="E56" s="14" t="str">
        <x:v>Verify indirect query retrieves exception handling content.</x:v>
      </x:c>
      <x:c r="F56" s="14" t="str">
        <x:v>Open WebUI is accessible. User is logged in. RAG/Knowledge Base and document upload features are enabled. Required test documents are available.</x:v>
      </x:c>
      <x:c r="G56" s="14" t="str">
        <x:v>Acceptable Use Policy DOCX</x:v>
      </x:c>
      <x:c r="H56" s="14" t="str">
        <x:v>How can someone get approval to use something normally not allowed?</x:v>
      </x:c>
      <x:c r="I56" s="14" t="str">
        <x:v>1. Login to Open WebUI with a valid test user account.
2. Start a new chat or RAG-enabled knowledge base session.
3. Upload or select test document set: Acceptable Use Policy DOCX.
4. Submit the prompt.
5. Review the generated answer, retrieved sources, citations, and source snippets if displayed.
6. Compare the response against the source documents and record observations.</x:v>
      </x:c>
      <x:c r="J56" s="14" t="str">
        <x:v>AI should retrieve exception request procedures from the policy.</x:v>
      </x:c>
      <x:c r="K56" s="14" t="str">
        <x:v>Validate: Correct Document Retrieved (Yes/No); Correct Citation Generated (Yes/No); Grounded Response (Yes/No); Hallucination Prevented (Yes/No); Source Attribution Correct (Yes/No); Missing Information Handled Correctly (Yes/No).</x:v>
      </x:c>
      <x:c r="L56" s="14" t="str"/>
      <x:c r="M56" s="14" t="str"/>
      <x:c r="N56" s="14" t="str"/>
      <x:c r="O56" s="14" t="str"/>
      <x:c r="P56" s="14" t="str"/>
      <x:c r="Q56" s="14" t="str"/>
      <x:c r="R56" s="14" t="str"/>
      <x:c r="S56" s="14" t="str">
        <x:v>Not Executed</x:v>
      </x:c>
      <x:c r="T56" s="14" t="str">
        <x:v>High</x:v>
      </x:c>
      <x:c r="U56" s="14" t="str">
        <x:v>High</x:v>
      </x:c>
    </x:row>
    <x:row r="57" ht="92" customHeight="1">
      <x:c r="A57" s="14" t="str">
        <x:v>OWUI-RAG-TC-056</x:v>
      </x:c>
      <x:c r="B57" s="14" t="str">
        <x:v>OWUI-TS-044</x:v>
      </x:c>
      <x:c r="C57" s="14" t="str">
        <x:v>Semantic Retrieval</x:v>
      </x:c>
      <x:c r="D57" s="14" t="str">
        <x:v>Validate semantic retrieval for responsible AI review</x:v>
      </x:c>
      <x:c r="E57" s="14" t="str">
        <x:v>Verify natural language query retrieves AI fairness review criteria.</x:v>
      </x:c>
      <x:c r="F57" s="14" t="str">
        <x:v>Open WebUI is accessible. User is logged in. RAG/Knowledge Base and document upload features are enabled. Required test documents are available.</x:v>
      </x:c>
      <x:c r="G57" s="14" t="str">
        <x:v>Responsible AI Evaluation Guide PDF</x:v>
      </x:c>
      <x:c r="H57" s="14" t="str">
        <x:v>How do we make sure AI responses do not stereotype people?</x:v>
      </x:c>
      <x:c r="I57" s="14" t="str">
        <x:v>1. Login to Open WebUI with a valid test user account.
2. Start a new chat or RAG-enabled knowledge base session.
3. Upload or select test document set: Responsible AI Evaluation Guide PDF.
4. Submit the prompt.
5. Review the generated answer, retrieved sources, citations, and source snippets if displayed.
6. Compare the response against the source documents and record observations.</x:v>
      </x:c>
      <x:c r="J57" s="14" t="str">
        <x:v>AI should retrieve bias/fairness validation criteria and answer using the guide.</x:v>
      </x:c>
      <x:c r="K57" s="14" t="str">
        <x:v>Validate: Correct Document Retrieved (Yes/No); Correct Citation Generated (Yes/No); Grounded Response (Yes/No); Hallucination Prevented (Yes/No); Source Attribution Correct (Yes/No); Missing Information Handled Correctly (Yes/No).</x:v>
      </x:c>
      <x:c r="L57" s="14" t="str"/>
      <x:c r="M57" s="14" t="str"/>
      <x:c r="N57" s="14" t="str"/>
      <x:c r="O57" s="14" t="str"/>
      <x:c r="P57" s="14" t="str"/>
      <x:c r="Q57" s="14" t="str"/>
      <x:c r="R57" s="14" t="str"/>
      <x:c r="S57" s="14" t="str">
        <x:v>Not Executed</x:v>
      </x:c>
      <x:c r="T57" s="14" t="str">
        <x:v>High</x:v>
      </x:c>
      <x:c r="U57" s="14" t="str">
        <x:v>High</x:v>
      </x:c>
    </x:row>
    <x:row r="58" ht="92" customHeight="1">
      <x:c r="A58" s="14" t="str">
        <x:v>OWUI-RAG-TC-057</x:v>
      </x:c>
      <x:c r="B58" s="14" t="str">
        <x:v>OWUI-TS-041</x:v>
      </x:c>
      <x:c r="C58" s="14" t="str">
        <x:v>Multi-Document Retrieval</x:v>
      </x:c>
      <x:c r="D58" s="14" t="str">
        <x:v>Validate retrieval across policy and procedure</x:v>
      </x:c>
      <x:c r="E58" s="14" t="str">
        <x:v>Verify AI pulls policy rule and operating procedure from separate documents.</x:v>
      </x:c>
      <x:c r="F58" s="14" t="str">
        <x:v>Open WebUI is accessible. User is logged in. RAG/Knowledge Base and document upload features are enabled. Required test documents are available.</x:v>
      </x:c>
      <x:c r="G58" s="14" t="str">
        <x:v>Data Retention Policy PDF; Data Deletion SOP DOCX</x:v>
      </x:c>
      <x:c r="H58" s="14" t="str">
        <x:v>What is the retention period for customer records and what is the deletion procedure?</x:v>
      </x:c>
      <x:c r="I58" s="14" t="str">
        <x:v>1. Login to Open WebUI with a valid test user account.
2. Start a new chat or RAG-enabled knowledge base session.
3. Upload or select test document set: Data Retention Policy PDF; Data Deletion SOP DOCX.
4. Submit the prompt.
5. Review the generated answer, retrieved sources, citations, and source snippets if displayed.
6. Compare the response against the source documents and record observations.</x:v>
      </x:c>
      <x:c r="J58" s="14" t="str">
        <x:v>AI should retrieve the retention period from the policy and deletion procedure from the SOP with clear source separation.</x:v>
      </x:c>
      <x:c r="K58" s="14" t="str">
        <x:v>Validate: Correct Document Retrieved (Yes/No); Correct Citation Generated (Yes/No); Grounded Response (Yes/No); Hallucination Prevented (Yes/No); Source Attribution Correct (Yes/No); Missing Information Handled Correctly (Yes/No).</x:v>
      </x:c>
      <x:c r="L58" s="14" t="str"/>
      <x:c r="M58" s="14" t="str"/>
      <x:c r="N58" s="14" t="str"/>
      <x:c r="O58" s="14" t="str"/>
      <x:c r="P58" s="14" t="str"/>
      <x:c r="Q58" s="14" t="str"/>
      <x:c r="R58" s="14" t="str"/>
      <x:c r="S58" s="14" t="str">
        <x:v>Not Executed</x:v>
      </x:c>
      <x:c r="T58" s="14" t="str">
        <x:v>High</x:v>
      </x:c>
      <x:c r="U58" s="14" t="str">
        <x:v>High</x:v>
      </x:c>
    </x:row>
    <x:row r="59" ht="92" customHeight="1">
      <x:c r="A59" s="14" t="str">
        <x:v>OWUI-RAG-TC-058</x:v>
      </x:c>
      <x:c r="B59" s="14" t="str">
        <x:v>OWUI-TS-041</x:v>
      </x:c>
      <x:c r="C59" s="14" t="str">
        <x:v>Multi-Document Retrieval</x:v>
      </x:c>
      <x:c r="D59" s="14" t="str">
        <x:v>Validate retrieval across charter and test strategy</x:v>
      </x:c>
      <x:c r="E59" s="14" t="str">
        <x:v>Verify AI retrieves stakeholders and exit criteria from different documents.</x:v>
      </x:c>
      <x:c r="F59" s="14" t="str">
        <x:v>Open WebUI is accessible. User is logged in. RAG/Knowledge Base and document upload features are enabled. Required test documents are available.</x:v>
      </x:c>
      <x:c r="G59" s="14" t="str">
        <x:v>Project Charter DOCX; QA Test Strategy PDF</x:v>
      </x:c>
      <x:c r="H59" s="14" t="str">
        <x:v>Who approves the test plan and what exit criteria must be met?</x:v>
      </x:c>
      <x:c r="I59" s="14" t="str">
        <x:v>1. Login to Open WebUI with a valid test user account.
2. Start a new chat or RAG-enabled knowledge base session.
3. Upload or select test document set: Project Charter DOCX; QA Test Strategy PDF.
4. Submit the prompt.
5. Review the generated answer, retrieved sources, citations, and source snippets if displayed.
6. Compare the response against the source documents and record observations.</x:v>
      </x:c>
      <x:c r="J59" s="14" t="str">
        <x:v>AI should answer approver from charter and exit criteria from test strategy, with correct attribution.</x:v>
      </x:c>
      <x:c r="K59" s="14" t="str">
        <x:v>Validate: Correct Document Retrieved (Yes/No); Correct Citation Generated (Yes/No); Grounded Response (Yes/No); Hallucination Prevented (Yes/No); Source Attribution Correct (Yes/No); Missing Information Handled Correctly (Yes/No).</x:v>
      </x:c>
      <x:c r="L59" s="14" t="str"/>
      <x:c r="M59" s="14" t="str"/>
      <x:c r="N59" s="14" t="str"/>
      <x:c r="O59" s="14" t="str"/>
      <x:c r="P59" s="14" t="str"/>
      <x:c r="Q59" s="14" t="str"/>
      <x:c r="R59" s="14" t="str"/>
      <x:c r="S59" s="14" t="str">
        <x:v>Not Executed</x:v>
      </x:c>
      <x:c r="T59" s="14" t="str">
        <x:v>High</x:v>
      </x:c>
      <x:c r="U59" s="14" t="str">
        <x:v>High</x:v>
      </x:c>
    </x:row>
    <x:row r="60" ht="92" customHeight="1">
      <x:c r="A60" s="14" t="str">
        <x:v>OWUI-RAG-TC-059</x:v>
      </x:c>
      <x:c r="B60" s="14" t="str">
        <x:v>OWUI-TS-041</x:v>
      </x:c>
      <x:c r="C60" s="14" t="str">
        <x:v>Multi-Document Retrieval</x:v>
      </x:c>
      <x:c r="D60" s="14" t="str">
        <x:v>Validate retrieval across FAQ and admin guide</x:v>
      </x:c>
      <x:c r="E60" s="14" t="str">
        <x:v>Verify AI distinguishes user FAQ from admin configuration guide.</x:v>
      </x:c>
      <x:c r="F60" s="14" t="str">
        <x:v>Open WebUI is accessible. User is logged in. RAG/Knowledge Base and document upload features are enabled. Required test documents are available.</x:v>
      </x:c>
      <x:c r="G60" s="14" t="str">
        <x:v>Open WebUI User FAQ PDF; Open WebUI Admin Guide PDF</x:v>
      </x:c>
      <x:c r="H60" s="14" t="str">
        <x:v>What can users change in settings and what can admins configure for models?</x:v>
      </x:c>
      <x:c r="I60" s="14" t="str">
        <x:v>1. Login to Open WebUI with a valid test user account.
2. Start a new chat or RAG-enabled knowledge base session.
3. Upload or select test document set: Open WebUI User FAQ PDF; Open WebUI Admin Guide PDF.
4. Submit the prompt.
5. Review the generated answer, retrieved sources, citations, and source snippets if displayed.
6. Compare the response against the source documents and record observations.</x:v>
      </x:c>
      <x:c r="J60" s="14" t="str">
        <x:v>AI should retrieve user settings from FAQ/user guide and model configuration from admin guide.</x:v>
      </x:c>
      <x:c r="K60" s="14" t="str">
        <x:v>Validate: Correct Document Retrieved (Yes/No); Correct Citation Generated (Yes/No); Grounded Response (Yes/No); Hallucination Prevented (Yes/No); Source Attribution Correct (Yes/No); Missing Information Handled Correctly (Yes/No).</x:v>
      </x:c>
      <x:c r="L60" s="14" t="str"/>
      <x:c r="M60" s="14" t="str"/>
      <x:c r="N60" s="14" t="str"/>
      <x:c r="O60" s="14" t="str"/>
      <x:c r="P60" s="14" t="str"/>
      <x:c r="Q60" s="14" t="str"/>
      <x:c r="R60" s="14" t="str"/>
      <x:c r="S60" s="14" t="str">
        <x:v>Not Executed</x:v>
      </x:c>
      <x:c r="T60" s="14" t="str">
        <x:v>High</x:v>
      </x:c>
      <x:c r="U60" s="14" t="str">
        <x:v>High</x:v>
      </x:c>
    </x:row>
    <x:row r="61" ht="92" customHeight="1">
      <x:c r="A61" s="14" t="str">
        <x:v>OWUI-RAG-TC-060</x:v>
      </x:c>
      <x:c r="B61" s="14" t="str">
        <x:v>OWUI-TS-041</x:v>
      </x:c>
      <x:c r="C61" s="14" t="str">
        <x:v>Multi-Document Retrieval</x:v>
      </x:c>
      <x:c r="D61" s="14" t="str">
        <x:v>Validate retrieval across security and acceptable use policies</x:v>
      </x:c>
      <x:c r="E61" s="14" t="str">
        <x:v>Verify AI combines related security obligations across documents.</x:v>
      </x:c>
      <x:c r="F61" s="14" t="str">
        <x:v>Open WebUI is accessible. User is logged in. RAG/Knowledge Base and document upload features are enabled. Required test documents are available.</x:v>
      </x:c>
      <x:c r="G61" s="14" t="str">
        <x:v>Enterprise Security Policy PDF; Acceptable Use Policy DOCX</x:v>
      </x:c>
      <x:c r="H61" s="14" t="str">
        <x:v>What are the rules for using third-party AI tools securely?</x:v>
      </x:c>
      <x:c r="I61" s="14" t="str">
        <x:v>1. Login to Open WebUI with a valid test user account.
2. Start a new chat or RAG-enabled knowledge base session.
3. Upload or select test document set: Enterprise Security Policy PDF; Acceptable Use Policy DOCX.
4. Submit the prompt.
5. Review the generated answer, retrieved sources, citations, and source snippets if displayed.
6. Compare the response against the source documents and record observations.</x:v>
      </x:c>
      <x:c r="J61" s="14" t="str">
        <x:v>AI should combine relevant sections from both documents and cite each source.</x:v>
      </x:c>
      <x:c r="K61" s="14" t="str">
        <x:v>Validate: Correct Document Retrieved (Yes/No); Correct Citation Generated (Yes/No); Grounded Response (Yes/No); Hallucination Prevented (Yes/No); Source Attribution Correct (Yes/No); Missing Information Handled Correctly (Yes/No).</x:v>
      </x:c>
      <x:c r="L61" s="14" t="str"/>
      <x:c r="M61" s="14" t="str"/>
      <x:c r="N61" s="14" t="str"/>
      <x:c r="O61" s="14" t="str"/>
      <x:c r="P61" s="14" t="str"/>
      <x:c r="Q61" s="14" t="str"/>
      <x:c r="R61" s="14" t="str"/>
      <x:c r="S61" s="14" t="str">
        <x:v>Not Executed</x:v>
      </x:c>
      <x:c r="T61" s="14" t="str">
        <x:v>High</x:v>
      </x:c>
      <x:c r="U61" s="14" t="str">
        <x:v>High</x:v>
      </x:c>
    </x:row>
    <x:row r="62" ht="92" customHeight="1">
      <x:c r="A62" s="14" t="str">
        <x:v>OWUI-RAG-TC-061</x:v>
      </x:c>
      <x:c r="B62" s="14" t="str">
        <x:v>OWUI-TS-041</x:v>
      </x:c>
      <x:c r="C62" s="14" t="str">
        <x:v>Multi-Document Retrieval</x:v>
      </x:c>
      <x:c r="D62" s="14" t="str">
        <x:v>Validate retrieval across release notes and troubleshooting guide</x:v>
      </x:c>
      <x:c r="E62" s="14" t="str">
        <x:v>Verify AI links release change to troubleshooting guidance.</x:v>
      </x:c>
      <x:c r="F62" s="14" t="str">
        <x:v>Open WebUI is accessible. User is logged in. RAG/Knowledge Base and document upload features are enabled. Required test documents are available.</x:v>
      </x:c>
      <x:c r="G62" s="14" t="str">
        <x:v>Release Notes v1.5 PDF; Troubleshooting Guide PDF</x:v>
      </x:c>
      <x:c r="H62" s="14" t="str">
        <x:v>What upload issue was fixed in v1.5 and what troubleshooting step remains if upload still fails?</x:v>
      </x:c>
      <x:c r="I62" s="14" t="str">
        <x:v>1. Login to Open WebUI with a valid test user account.
2. Start a new chat or RAG-enabled knowledge base session.
3. Upload or select test document set: Release Notes v1.5 PDF; Troubleshooting Guide PDF.
4. Submit the prompt.
5. Review the generated answer, retrieved sources, citations, and source snippets if displayed.
6. Compare the response against the source documents and record observations.</x:v>
      </x:c>
      <x:c r="J62" s="14" t="str">
        <x:v>AI should retrieve v1.5 fix from release notes and troubleshooting steps from the guide.</x:v>
      </x:c>
      <x:c r="K62" s="14" t="str">
        <x:v>Validate: Correct Document Retrieved (Yes/No); Correct Citation Generated (Yes/No); Grounded Response (Yes/No); Hallucination Prevented (Yes/No); Source Attribution Correct (Yes/No); Missing Information Handled Correctly (Yes/No).</x:v>
      </x:c>
      <x:c r="L62" s="14" t="str"/>
      <x:c r="M62" s="14" t="str"/>
      <x:c r="N62" s="14" t="str"/>
      <x:c r="O62" s="14" t="str"/>
      <x:c r="P62" s="14" t="str"/>
      <x:c r="Q62" s="14" t="str"/>
      <x:c r="R62" s="14" t="str"/>
      <x:c r="S62" s="14" t="str">
        <x:v>Not Executed</x:v>
      </x:c>
      <x:c r="T62" s="14" t="str">
        <x:v>High</x:v>
      </x:c>
      <x:c r="U62" s="14" t="str">
        <x:v>High</x:v>
      </x:c>
    </x:row>
    <x:row r="63" ht="92" customHeight="1">
      <x:c r="A63" s="14" t="str">
        <x:v>OWUI-RAG-TC-062</x:v>
      </x:c>
      <x:c r="B63" s="14" t="str">
        <x:v>OWUI-TS-041</x:v>
      </x:c>
      <x:c r="C63" s="14" t="str">
        <x:v>Multi-Document Retrieval</x:v>
      </x:c>
      <x:c r="D63" s="14" t="str">
        <x:v>Validate retrieval across requirements and test cases</x:v>
      </x:c>
      <x:c r="E63" s="14" t="str">
        <x:v>Verify AI maps a requirement to related test coverage from separate documents.</x:v>
      </x:c>
      <x:c r="F63" s="14" t="str">
        <x:v>Open WebUI is accessible. User is logged in. RAG/Knowledge Base and document upload features are enabled. Required test documents are available.</x:v>
      </x:c>
      <x:c r="G63" s="14" t="str">
        <x:v>Requirements Traceability Matrix PDF; Manual Test Cases XLSX/PDF Export</x:v>
      </x:c>
      <x:c r="H63" s="14" t="str">
        <x:v>Which test cases cover OWUI-REQ-014?</x:v>
      </x:c>
      <x:c r="I63" s="14" t="str">
        <x:v>1. Login to Open WebUI with a valid test user account.
2. Start a new chat or RAG-enabled knowledge base session.
3. Upload or select test document set: Requirements Traceability Matrix PDF; Manual Test Cases XLSX/PDF Export.
4. Submit the prompt.
5. Review the generated answer, retrieved sources, citations, and source snippets if displayed.
6. Compare the response against the source documents and record observations.</x:v>
      </x:c>
      <x:c r="J63" s="14" t="str">
        <x:v>AI should retrieve requirement OWUI-REQ-014 and matching test cases from the test case document.</x:v>
      </x:c>
      <x:c r="K63" s="14" t="str">
        <x:v>Validate: Correct Document Retrieved (Yes/No); Correct Citation Generated (Yes/No); Grounded Response (Yes/No); Hallucination Prevented (Yes/No); Source Attribution Correct (Yes/No); Missing Information Handled Correctly (Yes/No).</x:v>
      </x:c>
      <x:c r="L63" s="14" t="str"/>
      <x:c r="M63" s="14" t="str"/>
      <x:c r="N63" s="14" t="str"/>
      <x:c r="O63" s="14" t="str"/>
      <x:c r="P63" s="14" t="str"/>
      <x:c r="Q63" s="14" t="str"/>
      <x:c r="R63" s="14" t="str"/>
      <x:c r="S63" s="14" t="str">
        <x:v>Not Executed</x:v>
      </x:c>
      <x:c r="T63" s="14" t="str">
        <x:v>High</x:v>
      </x:c>
      <x:c r="U63" s="14" t="str">
        <x:v>High</x:v>
      </x:c>
    </x:row>
    <x:row r="64" ht="92" customHeight="1">
      <x:c r="A64" s="14" t="str">
        <x:v>OWUI-RAG-TC-063</x:v>
      </x:c>
      <x:c r="B64" s="14" t="str">
        <x:v>OWUI-TS-041</x:v>
      </x:c>
      <x:c r="C64" s="14" t="str">
        <x:v>Multi-Document Retrieval</x:v>
      </x:c>
      <x:c r="D64" s="14" t="str">
        <x:v>Validate retrieval across policy versions</x:v>
      </x:c>
      <x:c r="E64" s="14" t="str">
        <x:v>Verify AI uses multiple versions for version comparison.</x:v>
      </x:c>
      <x:c r="F64" s="14" t="str">
        <x:v>Open WebUI is accessible. User is logged in. RAG/Knowledge Base and document upload features are enabled. Required test documents are available.</x:v>
      </x:c>
      <x:c r="G64" s="14" t="str">
        <x:v>Security Policy v1.0 PDF; Security Policy v2.0 PDF</x:v>
      </x:c>
      <x:c r="H64" s="14" t="str">
        <x:v>What changed in MFA requirements between v1.0 and v2.0?</x:v>
      </x:c>
      <x:c r="I64" s="14" t="str">
        <x:v>1. Login to Open WebUI with a valid test user account.
2. Start a new chat or RAG-enabled knowledge base session.
3. Upload or select test document set: Security Policy v1.0 PDF; Security Policy v2.0 PDF.
4. Submit the prompt.
5. Review the generated answer, retrieved sources, citations, and source snippets if displayed.
6. Compare the response against the source documents and record observations.</x:v>
      </x:c>
      <x:c r="J64" s="14" t="str">
        <x:v>AI should retrieve both versions and compare MFA requirements without merging them incorrectly.</x:v>
      </x:c>
      <x:c r="K64" s="14" t="str">
        <x:v>Validate: Correct Document Retrieved (Yes/No); Correct Citation Generated (Yes/No); Grounded Response (Yes/No); Hallucination Prevented (Yes/No); Source Attribution Correct (Yes/No); Missing Information Handled Correctly (Yes/No).</x:v>
      </x:c>
      <x:c r="L64" s="14" t="str"/>
      <x:c r="M64" s="14" t="str"/>
      <x:c r="N64" s="14" t="str"/>
      <x:c r="O64" s="14" t="str"/>
      <x:c r="P64" s="14" t="str"/>
      <x:c r="Q64" s="14" t="str"/>
      <x:c r="R64" s="14" t="str"/>
      <x:c r="S64" s="14" t="str">
        <x:v>Not Executed</x:v>
      </x:c>
      <x:c r="T64" s="14" t="str">
        <x:v>High</x:v>
      </x:c>
      <x:c r="U64" s="14" t="str">
        <x:v>High</x:v>
      </x:c>
    </x:row>
    <x:row r="65" ht="92" customHeight="1">
      <x:c r="A65" s="14" t="str">
        <x:v>OWUI-RAG-TC-064</x:v>
      </x:c>
      <x:c r="B65" s="14" t="str">
        <x:v>OWUI-TS-041</x:v>
      </x:c>
      <x:c r="C65" s="14" t="str">
        <x:v>Multi-Document Retrieval</x:v>
      </x:c>
      <x:c r="D65" s="14" t="str">
        <x:v>Validate retrieval across HR and travel policies</x:v>
      </x:c>
      <x:c r="E65" s="14" t="str">
        <x:v>Verify AI extracts separate employee benefits content from multiple documents.</x:v>
      </x:c>
      <x:c r="F65" s="14" t="str">
        <x:v>Open WebUI is accessible. User is logged in. RAG/Knowledge Base and document upload features are enabled. Required test documents are available.</x:v>
      </x:c>
      <x:c r="G65" s="14" t="str">
        <x:v>HR Leave Policy PDF; Travel Reimbursement Policy PDF</x:v>
      </x:c>
      <x:c r="H65" s="14" t="str">
        <x:v>Summarize leave approval rules and travel reimbursement approval rules.</x:v>
      </x:c>
      <x:c r="I65" s="14" t="str">
        <x:v>1. Login to Open WebUI with a valid test user account.
2. Start a new chat or RAG-enabled knowledge base session.
3. Upload or select test document set: HR Leave Policy PDF; Travel Reimbursement Policy PDF.
4. Submit the prompt.
5. Review the generated answer, retrieved sources, citations, and source snippets if displayed.
6. Compare the response against the source documents and record observations.</x:v>
      </x:c>
      <x:c r="J65" s="14" t="str">
        <x:v>AI should summarize each policy separately and avoid attributing travel rules to HR leave policy.</x:v>
      </x:c>
      <x:c r="K65" s="14" t="str">
        <x:v>Validate: Correct Document Retrieved (Yes/No); Correct Citation Generated (Yes/No); Grounded Response (Yes/No); Hallucination Prevented (Yes/No); Source Attribution Correct (Yes/No); Missing Information Handled Correctly (Yes/No).</x:v>
      </x:c>
      <x:c r="L65" s="14" t="str"/>
      <x:c r="M65" s="14" t="str"/>
      <x:c r="N65" s="14" t="str"/>
      <x:c r="O65" s="14" t="str"/>
      <x:c r="P65" s="14" t="str"/>
      <x:c r="Q65" s="14" t="str"/>
      <x:c r="R65" s="14" t="str"/>
      <x:c r="S65" s="14" t="str">
        <x:v>Not Executed</x:v>
      </x:c>
      <x:c r="T65" s="14" t="str">
        <x:v>High</x:v>
      </x:c>
      <x:c r="U65" s="14" t="str">
        <x:v>High</x:v>
      </x:c>
    </x:row>
    <x:row r="66" ht="92" customHeight="1">
      <x:c r="A66" s="14" t="str">
        <x:v>OWUI-RAG-TC-065</x:v>
      </x:c>
      <x:c r="B66" s="14" t="str">
        <x:v>OWUI-TS-041</x:v>
      </x:c>
      <x:c r="C66" s="14" t="str">
        <x:v>Multi-Document Retrieval</x:v>
      </x:c>
      <x:c r="D66" s="14" t="str">
        <x:v>Validate retrieval across risk register and mitigation plan</x:v>
      </x:c>
      <x:c r="E66" s="14" t="str">
        <x:v>Verify AI combines risk and mitigation from separate documents.</x:v>
      </x:c>
      <x:c r="F66" s="14" t="str">
        <x:v>Open WebUI is accessible. User is logged in. RAG/Knowledge Base and document upload features are enabled. Required test documents are available.</x:v>
      </x:c>
      <x:c r="G66" s="14" t="str">
        <x:v>GenAI QA Risk Register PDF; Risk Mitigation Plan DOCX</x:v>
      </x:c>
      <x:c r="H66" s="14" t="str">
        <x:v>What mitigation exists for incorrect RAG citations?</x:v>
      </x:c>
      <x:c r="I66" s="14" t="str">
        <x:v>1. Login to Open WebUI with a valid test user account.
2. Start a new chat or RAG-enabled knowledge base session.
3. Upload or select test document set: GenAI QA Risk Register PDF; Risk Mitigation Plan DOCX.
4. Submit the prompt.
5. Review the generated answer, retrieved sources, citations, and source snippets if displayed.
6. Compare the response against the source documents and record observations.</x:v>
      </x:c>
      <x:c r="J66" s="14" t="str">
        <x:v>AI should retrieve the risk from the register and the mitigation from the mitigation plan.</x:v>
      </x:c>
      <x:c r="K66" s="14" t="str">
        <x:v>Validate: Correct Document Retrieved (Yes/No); Correct Citation Generated (Yes/No); Grounded Response (Yes/No); Hallucination Prevented (Yes/No); Source Attribution Correct (Yes/No); Missing Information Handled Correctly (Yes/No).</x:v>
      </x:c>
      <x:c r="L66" s="14" t="str"/>
      <x:c r="M66" s="14" t="str"/>
      <x:c r="N66" s="14" t="str"/>
      <x:c r="O66" s="14" t="str"/>
      <x:c r="P66" s="14" t="str"/>
      <x:c r="Q66" s="14" t="str"/>
      <x:c r="R66" s="14" t="str"/>
      <x:c r="S66" s="14" t="str">
        <x:v>Not Executed</x:v>
      </x:c>
      <x:c r="T66" s="14" t="str">
        <x:v>High</x:v>
      </x:c>
      <x:c r="U66" s="14" t="str">
        <x:v>High</x:v>
      </x:c>
    </x:row>
    <x:row r="67" ht="92" customHeight="1">
      <x:c r="A67" s="14" t="str">
        <x:v>OWUI-RAG-TC-066</x:v>
      </x:c>
      <x:c r="B67" s="14" t="str">
        <x:v>OWUI-TS-041</x:v>
      </x:c>
      <x:c r="C67" s="14" t="str">
        <x:v>Multi-Document Retrieval</x:v>
      </x:c>
      <x:c r="D67" s="14" t="str">
        <x:v>Validate retrieval across training policy and attendance log</x:v>
      </x:c>
      <x:c r="E67" s="14" t="str">
        <x:v>Verify AI combines policy requirement with evidence document.</x:v>
      </x:c>
      <x:c r="F67" s="14" t="str">
        <x:v>Open WebUI is accessible. User is logged in. RAG/Knowledge Base and document upload features are enabled. Required test documents are available.</x:v>
      </x:c>
      <x:c r="G67" s="14" t="str">
        <x:v>Security Awareness Training Policy PDF; Training Attendance Report PDF</x:v>
      </x:c>
      <x:c r="H67" s="14" t="str">
        <x:v>What training is required and did the QA team complete it?</x:v>
      </x:c>
      <x:c r="I67" s="14" t="str">
        <x:v>1. Login to Open WebUI with a valid test user account.
2. Start a new chat or RAG-enabled knowledge base session.
3. Upload or select test document set: Security Awareness Training Policy PDF; Training Attendance Report PDF.
4. Submit the prompt.
5. Review the generated answer, retrieved sources, citations, and source snippets if displayed.
6. Compare the response against the source documents and record observations.</x:v>
      </x:c>
      <x:c r="J67" s="14" t="str">
        <x:v>AI should retrieve required training from policy and completion status from attendance report.</x:v>
      </x:c>
      <x:c r="K67" s="14" t="str">
        <x:v>Validate: Correct Document Retrieved (Yes/No); Correct Citation Generated (Yes/No); Grounded Response (Yes/No); Hallucination Prevented (Yes/No); Source Attribution Correct (Yes/No); Missing Information Handled Correctly (Yes/No).</x:v>
      </x:c>
      <x:c r="L67" s="14" t="str"/>
      <x:c r="M67" s="14" t="str"/>
      <x:c r="N67" s="14" t="str"/>
      <x:c r="O67" s="14" t="str"/>
      <x:c r="P67" s="14" t="str"/>
      <x:c r="Q67" s="14" t="str"/>
      <x:c r="R67" s="14" t="str"/>
      <x:c r="S67" s="14" t="str">
        <x:v>Not Executed</x:v>
      </x:c>
      <x:c r="T67" s="14" t="str">
        <x:v>High</x:v>
      </x:c>
      <x:c r="U67" s="14" t="str">
        <x:v>High</x:v>
      </x:c>
    </x:row>
    <x:row r="68" ht="92" customHeight="1">
      <x:c r="A68" s="14" t="str">
        <x:v>OWUI-RAG-TC-067</x:v>
      </x:c>
      <x:c r="B68" s="14" t="str">
        <x:v>OWUI-TS-041</x:v>
      </x:c>
      <x:c r="C68" s="14" t="str">
        <x:v>Multi-Document Retrieval</x:v>
      </x:c>
      <x:c r="D68" s="14" t="str">
        <x:v>Validate retrieval across knowledge base and uploaded document</x:v>
      </x:c>
      <x:c r="E68" s="14" t="str">
        <x:v>Verify AI uses both configured KB and uploaded file when both are relevant.</x:v>
      </x:c>
      <x:c r="F68" s="14" t="str">
        <x:v>Open WebUI is accessible. User is logged in. RAG/Knowledge Base and document upload features are enabled. Required test documents are available.</x:v>
      </x:c>
      <x:c r="G68" s="14" t="str">
        <x:v>Configured Open WebUI KB; Uploaded RAG Evaluation Checklist DOCX</x:v>
      </x:c>
      <x:c r="H68" s="14" t="str">
        <x:v>Using the KB and uploaded checklist, create RAG validation criteria.</x:v>
      </x:c>
      <x:c r="I68" s="14" t="str">
        <x:v>1. Login to Open WebUI with a valid test user account.
2. Start a new chat or RAG-enabled knowledge base session.
3. Upload or select test document set: Configured Open WebUI KB; Uploaded RAG Evaluation Checklist DOCX.
4. Submit the prompt.
5. Review the generated answer, retrieved sources, citations, and source snippets if displayed.
6. Compare the response against the source documents and record observations.</x:v>
      </x:c>
      <x:c r="J68" s="14" t="str">
        <x:v>AI should combine relevant KB guidance and uploaded checklist content with source attribution.</x:v>
      </x:c>
      <x:c r="K68" s="14" t="str">
        <x:v>Validate: Correct Document Retrieved (Yes/No); Correct Citation Generated (Yes/No); Grounded Response (Yes/No); Hallucination Prevented (Yes/No); Source Attribution Correct (Yes/No); Missing Information Handled Correctly (Yes/No).</x:v>
      </x:c>
      <x:c r="L68" s="14" t="str"/>
      <x:c r="M68" s="14" t="str"/>
      <x:c r="N68" s="14" t="str"/>
      <x:c r="O68" s="14" t="str"/>
      <x:c r="P68" s="14" t="str"/>
      <x:c r="Q68" s="14" t="str"/>
      <x:c r="R68" s="14" t="str"/>
      <x:c r="S68" s="14" t="str">
        <x:v>Not Executed</x:v>
      </x:c>
      <x:c r="T68" s="14" t="str">
        <x:v>High</x:v>
      </x:c>
      <x:c r="U68" s="14" t="str">
        <x:v>High</x:v>
      </x:c>
    </x:row>
    <x:row r="69" ht="92" customHeight="1">
      <x:c r="A69" s="14" t="str">
        <x:v>OWUI-RAG-TC-068</x:v>
      </x:c>
      <x:c r="B69" s="14" t="str">
        <x:v>OWUI-TS-041</x:v>
      </x:c>
      <x:c r="C69" s="14" t="str">
        <x:v>Multi-Document Retrieval</x:v>
      </x:c>
      <x:c r="D69" s="14" t="str">
        <x:v>Validate retrieval across three documents</x:v>
      </x:c>
      <x:c r="E69" s="14" t="str">
        <x:v>Verify AI retrieves information from three relevant sources.</x:v>
      </x:c>
      <x:c r="F69" s="14" t="str">
        <x:v>Open WebUI is accessible. User is logged in. RAG/Knowledge Base and document upload features are enabled. Required test documents are available.</x:v>
      </x:c>
      <x:c r="G69" s="14" t="str">
        <x:v>Project Charter DOCX; Test Plan PDF; Defect Process Guide PDF</x:v>
      </x:c>
      <x:c r="H69" s="14" t="str">
        <x:v>Create a QA governance summary covering stakeholders, testing scope, and defect lifecycle.</x:v>
      </x:c>
      <x:c r="I69" s="14" t="str">
        <x:v>1. Login to Open WebUI with a valid test user account.
2. Start a new chat or RAG-enabled knowledge base session.
3. Upload or select test document set: Project Charter DOCX; Test Plan PDF; Defect Process Guide PDF.
4. Submit the prompt.
5. Review the generated answer, retrieved sources, citations, and source snippets if displayed.
6. Compare the response against the source documents and record observations.</x:v>
      </x:c>
      <x:c r="J69" s="14" t="str">
        <x:v>AI should retrieve stakeholder, scope, and defect lifecycle from their respective documents.</x:v>
      </x:c>
      <x:c r="K69" s="14" t="str">
        <x:v>Validate: Correct Document Retrieved (Yes/No); Correct Citation Generated (Yes/No); Grounded Response (Yes/No); Hallucination Prevented (Yes/No); Source Attribution Correct (Yes/No); Missing Information Handled Correctly (Yes/No).</x:v>
      </x:c>
      <x:c r="L69" s="14" t="str"/>
      <x:c r="M69" s="14" t="str"/>
      <x:c r="N69" s="14" t="str"/>
      <x:c r="O69" s="14" t="str"/>
      <x:c r="P69" s="14" t="str"/>
      <x:c r="Q69" s="14" t="str"/>
      <x:c r="R69" s="14" t="str"/>
      <x:c r="S69" s="14" t="str">
        <x:v>Not Executed</x:v>
      </x:c>
      <x:c r="T69" s="14" t="str">
        <x:v>High</x:v>
      </x:c>
      <x:c r="U69" s="14" t="str">
        <x:v>High</x:v>
      </x:c>
    </x:row>
    <x:row r="70" ht="92" customHeight="1">
      <x:c r="A70" s="14" t="str">
        <x:v>OWUI-RAG-TC-069</x:v>
      </x:c>
      <x:c r="B70" s="14" t="str">
        <x:v>OWUI-TS-041</x:v>
      </x:c>
      <x:c r="C70" s="14" t="str">
        <x:v>Multi-Document Retrieval</x:v>
      </x:c>
      <x:c r="D70" s="14" t="str">
        <x:v>Validate retrieval across document set with unrelated file</x:v>
      </x:c>
      <x:c r="E70" s="14" t="str">
        <x:v>Verify irrelevant uploaded document is ignored.</x:v>
      </x:c>
      <x:c r="F70" s="14" t="str">
        <x:v>Open WebUI is accessible. User is logged in. RAG/Knowledge Base and document upload features are enabled. Required test documents are available.</x:v>
      </x:c>
      <x:c r="G70" s="14" t="str">
        <x:v>Security Policy PDF; Data Retention Policy PDF; Office Cafeteria Menu PDF</x:v>
      </x:c>
      <x:c r="H70" s="14" t="str">
        <x:v>What are the security and retention obligations for customer data?</x:v>
      </x:c>
      <x:c r="I70" s="14" t="str">
        <x:v>1. Login to Open WebUI with a valid test user account.
2. Start a new chat or RAG-enabled knowledge base session.
3. Upload or select test document set: Security Policy PDF; Data Retention Policy PDF; Office Cafeteria Menu PDF.
4. Submit the prompt.
5. Review the generated answer, retrieved sources, citations, and source snippets if displayed.
6. Compare the response against the source documents and record observations.</x:v>
      </x:c>
      <x:c r="J70" s="14" t="str">
        <x:v>AI should retrieve only security and retention policy content and ignore cafeteria menu.</x:v>
      </x:c>
      <x:c r="K70" s="14" t="str">
        <x:v>Validate: Correct Document Retrieved (Yes/No); Correct Citation Generated (Yes/No); Grounded Response (Yes/No); Hallucination Prevented (Yes/No); Source Attribution Correct (Yes/No); Missing Information Handled Correctly (Yes/No).</x:v>
      </x:c>
      <x:c r="L70" s="14" t="str"/>
      <x:c r="M70" s="14" t="str"/>
      <x:c r="N70" s="14" t="str"/>
      <x:c r="O70" s="14" t="str"/>
      <x:c r="P70" s="14" t="str"/>
      <x:c r="Q70" s="14" t="str"/>
      <x:c r="R70" s="14" t="str"/>
      <x:c r="S70" s="14" t="str">
        <x:v>Not Executed</x:v>
      </x:c>
      <x:c r="T70" s="14" t="str">
        <x:v>High</x:v>
      </x:c>
      <x:c r="U70" s="14" t="str">
        <x:v>High</x:v>
      </x:c>
    </x:row>
    <x:row r="71" ht="92" customHeight="1">
      <x:c r="A71" s="14" t="str">
        <x:v>OWUI-RAG-TC-070</x:v>
      </x:c>
      <x:c r="B71" s="14" t="str">
        <x:v>OWUI-TS-041</x:v>
      </x:c>
      <x:c r="C71" s="14" t="str">
        <x:v>Multi-Document Retrieval</x:v>
      </x:c>
      <x:c r="D71" s="14" t="str">
        <x:v>Validate retrieval across multiple similar documents</x:v>
      </x:c>
      <x:c r="E71" s="14" t="str">
        <x:v>Verify AI chooses the right document among similar files.</x:v>
      </x:c>
      <x:c r="F71" s="14" t="str">
        <x:v>Open WebUI is accessible. User is logged in. RAG/Knowledge Base and document upload features are enabled. Required test documents are available.</x:v>
      </x:c>
      <x:c r="G71" s="14" t="str">
        <x:v>Open WebUI User Guide PDF; Open WebUI Admin Guide PDF; Open WebUI Developer Guide PDF</x:v>
      </x:c>
      <x:c r="H71" s="14" t="str">
        <x:v>How should an admin configure model access for users?</x:v>
      </x:c>
      <x:c r="I71" s="14" t="str">
        <x:v>1. Login to Open WebUI with a valid test user account.
2. Start a new chat or RAG-enabled knowledge base session.
3. Upload or select test document set: Open WebUI User Guide PDF; Open WebUI Admin Guide PDF; Open WebUI Developer Guide PDF.
4. Submit the prompt.
5. Review the generated answer, retrieved sources, citations, and source snippets if displayed.
6. Compare the response against the source documents and record observations.</x:v>
      </x:c>
      <x:c r="J71" s="14" t="str">
        <x:v>AI should retrieve admin guide content rather than user or developer guide content.</x:v>
      </x:c>
      <x:c r="K71" s="14" t="str">
        <x:v>Validate: Correct Document Retrieved (Yes/No); Correct Citation Generated (Yes/No); Grounded Response (Yes/No); Hallucination Prevented (Yes/No); Source Attribution Correct (Yes/No); Missing Information Handled Correctly (Yes/No).</x:v>
      </x:c>
      <x:c r="L71" s="14" t="str"/>
      <x:c r="M71" s="14" t="str"/>
      <x:c r="N71" s="14" t="str"/>
      <x:c r="O71" s="14" t="str"/>
      <x:c r="P71" s="14" t="str"/>
      <x:c r="Q71" s="14" t="str"/>
      <x:c r="R71" s="14" t="str"/>
      <x:c r="S71" s="14" t="str">
        <x:v>Not Executed</x:v>
      </x:c>
      <x:c r="T71" s="14" t="str">
        <x:v>High</x:v>
      </x:c>
      <x:c r="U71" s="14" t="str">
        <x:v>High</x:v>
      </x:c>
    </x:row>
    <x:row r="72" ht="92" customHeight="1">
      <x:c r="A72" s="14" t="str">
        <x:v>OWUI-RAG-TC-071</x:v>
      </x:c>
      <x:c r="B72" s="14" t="str">
        <x:v>OWUI-TS-045</x:v>
      </x:c>
      <x:c r="C72" s="14" t="str">
        <x:v>Missing Information Handling</x:v>
      </x:c>
      <x:c r="D72" s="14" t="str">
        <x:v>Validate response when information is absent from document</x:v>
      </x:c>
      <x:c r="E72" s="14" t="str">
        <x:v>Verify AI states unavailable information rather than guessing.</x:v>
      </x:c>
      <x:c r="F72" s="14" t="str">
        <x:v>Open WebUI is accessible. User is logged in. RAG/Knowledge Base and document upload features are enabled. Required test documents are available.</x:v>
      </x:c>
      <x:c r="G72" s="14" t="str">
        <x:v>HR Leave Policy PDF</x:v>
      </x:c>
      <x:c r="H72" s="14" t="str">
        <x:v>What is the international relocation allowance in this policy?</x:v>
      </x:c>
      <x:c r="I72" s="14" t="str">
        <x:v>1. Login to Open WebUI with a valid test user account.
2. Start a new chat or RAG-enabled knowledge base session.
3. Upload or select test document set: HR Leave Policy PDF.
4. Submit the prompt.
5. Review the generated answer, retrieved sources, citations, and source snippets if displayed.
6. Compare the response against the source documents and record observations.</x:v>
      </x:c>
      <x:c r="J72" s="14" t="str">
        <x:v>AI should state that the policy does not contain international relocation allowance information and should not invent amounts or eligibility rules.</x:v>
      </x:c>
      <x:c r="K72" s="14" t="str">
        <x:v>Validate: Correct Document Retrieved (Yes/No); Correct Citation Generated (Yes/No); Grounded Response (Yes/No); Hallucination Prevented (Yes/No); Source Attribution Correct (Yes/No); Missing Information Handled Correctly (Yes/No).</x:v>
      </x:c>
      <x:c r="L72" s="14" t="str"/>
      <x:c r="M72" s="14" t="str"/>
      <x:c r="N72" s="14" t="str"/>
      <x:c r="O72" s="14" t="str"/>
      <x:c r="P72" s="14" t="str"/>
      <x:c r="Q72" s="14" t="str"/>
      <x:c r="R72" s="14" t="str"/>
      <x:c r="S72" s="14" t="str">
        <x:v>Not Executed</x:v>
      </x:c>
      <x:c r="T72" s="14" t="str">
        <x:v>High</x:v>
      </x:c>
      <x:c r="U72" s="14" t="str">
        <x:v>High</x:v>
      </x:c>
    </x:row>
    <x:row r="73" ht="92" customHeight="1">
      <x:c r="A73" s="14" t="str">
        <x:v>OWUI-RAG-TC-072</x:v>
      </x:c>
      <x:c r="B73" s="14" t="str">
        <x:v>OWUI-TS-045</x:v>
      </x:c>
      <x:c r="C73" s="14" t="str">
        <x:v>Missing Information Handling</x:v>
      </x:c>
      <x:c r="D73" s="14" t="str">
        <x:v>Validate missing section handling</x:v>
      </x:c>
      <x:c r="E73" s="14" t="str">
        <x:v>Verify AI does not fabricate a missing section.</x:v>
      </x:c>
      <x:c r="F73" s="14" t="str">
        <x:v>Open WebUI is accessible. User is logged in. RAG/Knowledge Base and document upload features are enabled. Required test documents are available.</x:v>
      </x:c>
      <x:c r="G73" s="14" t="str">
        <x:v>Short Security Policy PDF with sections 1-5</x:v>
      </x:c>
      <x:c r="H73" s="14" t="str">
        <x:v>What does Section 9 say about encryption key rotation?</x:v>
      </x:c>
      <x:c r="I73" s="14" t="str">
        <x:v>1. Login to Open WebUI with a valid test user account.
2. Start a new chat or RAG-enabled knowledge base session.
3. Upload or select test document set: Short Security Policy PDF with sections 1-5.
4. Submit the prompt.
5. Review the generated answer, retrieved sources, citations, and source snippets if displayed.
6. Compare the response against the source documents and record observations.</x:v>
      </x:c>
      <x:c r="J73" s="14" t="str">
        <x:v>AI should state Section 9 is not present or unavailable and should not fabricate section content.</x:v>
      </x:c>
      <x:c r="K73" s="14" t="str">
        <x:v>Validate: Correct Document Retrieved (Yes/No); Correct Citation Generated (Yes/No); Grounded Response (Yes/No); Hallucination Prevented (Yes/No); Source Attribution Correct (Yes/No); Missing Information Handled Correctly (Yes/No).</x:v>
      </x:c>
      <x:c r="L73" s="14" t="str"/>
      <x:c r="M73" s="14" t="str"/>
      <x:c r="N73" s="14" t="str"/>
      <x:c r="O73" s="14" t="str"/>
      <x:c r="P73" s="14" t="str"/>
      <x:c r="Q73" s="14" t="str"/>
      <x:c r="R73" s="14" t="str"/>
      <x:c r="S73" s="14" t="str">
        <x:v>Not Executed</x:v>
      </x:c>
      <x:c r="T73" s="14" t="str">
        <x:v>High</x:v>
      </x:c>
      <x:c r="U73" s="14" t="str">
        <x:v>High</x:v>
      </x:c>
    </x:row>
    <x:row r="74" ht="92" customHeight="1">
      <x:c r="A74" s="14" t="str">
        <x:v>OWUI-RAG-TC-073</x:v>
      </x:c>
      <x:c r="B74" s="14" t="str">
        <x:v>OWUI-TS-045</x:v>
      </x:c>
      <x:c r="C74" s="14" t="str">
        <x:v>Missing Information Handling</x:v>
      </x:c>
      <x:c r="D74" s="14" t="str">
        <x:v>Validate missing table handling</x:v>
      </x:c>
      <x:c r="E74" s="14" t="str">
        <x:v>Verify AI does not create table values that are not in the document.</x:v>
      </x:c>
      <x:c r="F74" s="14" t="str">
        <x:v>Open WebUI is accessible. User is logged in. RAG/Knowledge Base and document upload features are enabled. Required test documents are available.</x:v>
      </x:c>
      <x:c r="G74" s="14" t="str">
        <x:v>Travel Policy PDF with no reimbursement table</x:v>
      </x:c>
      <x:c r="H74" s="14" t="str">
        <x:v>What amount is listed in the reimbursement limits table?</x:v>
      </x:c>
      <x:c r="I74" s="14" t="str">
        <x:v>1. Login to Open WebUI with a valid test user account.
2. Start a new chat or RAG-enabled knowledge base session.
3. Upload or select test document set: Travel Policy PDF with no reimbursement table.
4. Submit the prompt.
5. Review the generated answer, retrieved sources, citations, and source snippets if displayed.
6. Compare the response against the source documents and record observations.</x:v>
      </x:c>
      <x:c r="J74" s="14" t="str">
        <x:v>AI should state that no reimbursement limits table or relevant amount is found.</x:v>
      </x:c>
      <x:c r="K74" s="14" t="str">
        <x:v>Validate: Correct Document Retrieved (Yes/No); Correct Citation Generated (Yes/No); Grounded Response (Yes/No); Hallucination Prevented (Yes/No); Source Attribution Correct (Yes/No); Missing Information Handled Correctly (Yes/No).</x:v>
      </x:c>
      <x:c r="L74" s="14" t="str"/>
      <x:c r="M74" s="14" t="str"/>
      <x:c r="N74" s="14" t="str"/>
      <x:c r="O74" s="14" t="str"/>
      <x:c r="P74" s="14" t="str"/>
      <x:c r="Q74" s="14" t="str"/>
      <x:c r="R74" s="14" t="str"/>
      <x:c r="S74" s="14" t="str">
        <x:v>Not Executed</x:v>
      </x:c>
      <x:c r="T74" s="14" t="str">
        <x:v>High</x:v>
      </x:c>
      <x:c r="U74" s="14" t="str">
        <x:v>High</x:v>
      </x:c>
    </x:row>
    <x:row r="75" ht="92" customHeight="1">
      <x:c r="A75" s="14" t="str">
        <x:v>OWUI-RAG-TC-074</x:v>
      </x:c>
      <x:c r="B75" s="14" t="str">
        <x:v>OWUI-TS-045</x:v>
      </x:c>
      <x:c r="C75" s="14" t="str">
        <x:v>Missing Information Handling</x:v>
      </x:c>
      <x:c r="D75" s="14" t="str">
        <x:v>Validate missing figure handling</x:v>
      </x:c>
      <x:c r="E75" s="14" t="str">
        <x:v>Verify AI does not describe a figure that is absent.</x:v>
      </x:c>
      <x:c r="F75" s="14" t="str">
        <x:v>Open WebUI is accessible. User is logged in. RAG/Knowledge Base and document upload features are enabled. Required test documents are available.</x:v>
      </x:c>
      <x:c r="G75" s="14" t="str">
        <x:v>Incident Management SOP DOCX without diagrams</x:v>
      </x:c>
      <x:c r="H75" s="14" t="str">
        <x:v>Explain the workflow shown in Figure 3.</x:v>
      </x:c>
      <x:c r="I75" s="14" t="str">
        <x:v>1. Login to Open WebUI with a valid test user account.
2. Start a new chat or RAG-enabled knowledge base session.
3. Upload or select test document set: Incident Management SOP DOCX without diagrams.
4. Submit the prompt.
5. Review the generated answer, retrieved sources, citations, and source snippets if displayed.
6. Compare the response against the source documents and record observations.</x:v>
      </x:c>
      <x:c r="J75" s="14" t="str">
        <x:v>AI should state that Figure 3 is not available in the document and request the figure if needed.</x:v>
      </x:c>
      <x:c r="K75" s="14" t="str">
        <x:v>Validate: Correct Document Retrieved (Yes/No); Correct Citation Generated (Yes/No); Grounded Response (Yes/No); Hallucination Prevented (Yes/No); Source Attribution Correct (Yes/No); Missing Information Handled Correctly (Yes/No).</x:v>
      </x:c>
      <x:c r="L75" s="14" t="str"/>
      <x:c r="M75" s="14" t="str"/>
      <x:c r="N75" s="14" t="str"/>
      <x:c r="O75" s="14" t="str"/>
      <x:c r="P75" s="14" t="str"/>
      <x:c r="Q75" s="14" t="str"/>
      <x:c r="R75" s="14" t="str"/>
      <x:c r="S75" s="14" t="str">
        <x:v>Not Executed</x:v>
      </x:c>
      <x:c r="T75" s="14" t="str">
        <x:v>High</x:v>
      </x:c>
      <x:c r="U75" s="14" t="str">
        <x:v>High</x:v>
      </x:c>
    </x:row>
    <x:row r="76" ht="92" customHeight="1">
      <x:c r="A76" s="14" t="str">
        <x:v>OWUI-RAG-TC-075</x:v>
      </x:c>
      <x:c r="B76" s="14" t="str">
        <x:v>OWUI-TS-045</x:v>
      </x:c>
      <x:c r="C76" s="14" t="str">
        <x:v>Missing Information Handling</x:v>
      </x:c>
      <x:c r="D76" s="14" t="str">
        <x:v>Validate missing appendix handling</x:v>
      </x:c>
      <x:c r="E76" s="14" t="str">
        <x:v>Verify AI does not infer appendix content.</x:v>
      </x:c>
      <x:c r="F76" s="14" t="str">
        <x:v>Open WebUI is accessible. User is logged in. RAG/Knowledge Base and document upload features are enabled. Required test documents are available.</x:v>
      </x:c>
      <x:c r="G76" s="14" t="str">
        <x:v>Vendor Risk Guide PDF without appendix</x:v>
      </x:c>
      <x:c r="H76" s="14" t="str">
        <x:v>What checklist is provided in Appendix B?</x:v>
      </x:c>
      <x:c r="I76" s="14" t="str">
        <x:v>1. Login to Open WebUI with a valid test user account.
2. Start a new chat or RAG-enabled knowledge base session.
3. Upload or select test document set: Vendor Risk Guide PDF without appendix.
4. Submit the prompt.
5. Review the generated answer, retrieved sources, citations, and source snippets if displayed.
6. Compare the response against the source documents and record observations.</x:v>
      </x:c>
      <x:c r="J76" s="14" t="str">
        <x:v>AI should state Appendix B is not present and should not invent checklist items.</x:v>
      </x:c>
      <x:c r="K76" s="14" t="str">
        <x:v>Validate: Correct Document Retrieved (Yes/No); Correct Citation Generated (Yes/No); Grounded Response (Yes/No); Hallucination Prevented (Yes/No); Source Attribution Correct (Yes/No); Missing Information Handled Correctly (Yes/No).</x:v>
      </x:c>
      <x:c r="L76" s="14" t="str"/>
      <x:c r="M76" s="14" t="str"/>
      <x:c r="N76" s="14" t="str"/>
      <x:c r="O76" s="14" t="str"/>
      <x:c r="P76" s="14" t="str"/>
      <x:c r="Q76" s="14" t="str"/>
      <x:c r="R76" s="14" t="str"/>
      <x:c r="S76" s="14" t="str">
        <x:v>Not Executed</x:v>
      </x:c>
      <x:c r="T76" s="14" t="str">
        <x:v>High</x:v>
      </x:c>
      <x:c r="U76" s="14" t="str">
        <x:v>High</x:v>
      </x:c>
    </x:row>
    <x:row r="77" ht="92" customHeight="1">
      <x:c r="A77" s="14" t="str">
        <x:v>OWUI-RAG-TC-076</x:v>
      </x:c>
      <x:c r="B77" s="14" t="str">
        <x:v>OWUI-TS-045</x:v>
      </x:c>
      <x:c r="C77" s="14" t="str">
        <x:v>Missing Information Handling</x:v>
      </x:c>
      <x:c r="D77" s="14" t="str">
        <x:v>Validate no-document uploaded handling</x:v>
      </x:c>
      <x:c r="E77" s="14" t="str">
        <x:v>Verify AI asks for the document when no RAG source is available.</x:v>
      </x:c>
      <x:c r="F77" s="14" t="str">
        <x:v>Open WebUI is accessible. User is logged in. RAG/Knowledge Base and document upload features are enabled. Required test documents are available.</x:v>
      </x:c>
      <x:c r="G77" s="14" t="str">
        <x:v>No document uploaded</x:v>
      </x:c>
      <x:c r="H77" s="14" t="str">
        <x:v>According to the uploaded policy, what is the access review frequency?</x:v>
      </x:c>
      <x:c r="I77" s="14" t="str">
        <x:v>1. Login to Open WebUI with a valid test user account.
2. Start a new chat or RAG-enabled knowledge base session.
3. Upload or select test document set: No document uploaded.
4. Submit the prompt.
5. Review the generated answer, retrieved sources, citations, and source snippets if displayed.
6. Compare the response against the source documents and record observations.</x:v>
      </x:c>
      <x:c r="J77" s="14" t="str">
        <x:v>AI should state that no document is available/uploaded and ask the user to provide the policy.</x:v>
      </x:c>
      <x:c r="K77" s="14" t="str">
        <x:v>Validate: Correct Document Retrieved (Yes/No); Correct Citation Generated (Yes/No); Grounded Response (Yes/No); Hallucination Prevented (Yes/No); Source Attribution Correct (Yes/No); Missing Information Handled Correctly (Yes/No).</x:v>
      </x:c>
      <x:c r="L77" s="14" t="str"/>
      <x:c r="M77" s="14" t="str"/>
      <x:c r="N77" s="14" t="str"/>
      <x:c r="O77" s="14" t="str"/>
      <x:c r="P77" s="14" t="str"/>
      <x:c r="Q77" s="14" t="str"/>
      <x:c r="R77" s="14" t="str"/>
      <x:c r="S77" s="14" t="str">
        <x:v>Not Executed</x:v>
      </x:c>
      <x:c r="T77" s="14" t="str">
        <x:v>High</x:v>
      </x:c>
      <x:c r="U77" s="14" t="str">
        <x:v>High</x:v>
      </x:c>
    </x:row>
    <x:row r="78" ht="92" customHeight="1">
      <x:c r="A78" s="14" t="str">
        <x:v>OWUI-RAG-TC-077</x:v>
      </x:c>
      <x:c r="B78" s="14" t="str">
        <x:v>OWUI-TS-045</x:v>
      </x:c>
      <x:c r="C78" s="14" t="str">
        <x:v>Missing Information Handling</x:v>
      </x:c>
      <x:c r="D78" s="14" t="str">
        <x:v>Validate missing author handling</x:v>
      </x:c>
      <x:c r="E78" s="14" t="str">
        <x:v>Verify AI does not infer author from file name or content style.</x:v>
      </x:c>
      <x:c r="F78" s="14" t="str">
        <x:v>Open WebUI is accessible. User is logged in. RAG/Knowledge Base and document upload features are enabled. Required test documents are available.</x:v>
      </x:c>
      <x:c r="G78" s="14" t="str">
        <x:v>Data Governance Handbook PDF with no author metadata</x:v>
      </x:c>
      <x:c r="H78" s="14" t="str">
        <x:v>Who authored this document?</x:v>
      </x:c>
      <x:c r="I78" s="14" t="str">
        <x:v>1. Login to Open WebUI with a valid test user account.
2. Start a new chat or RAG-enabled knowledge base session.
3. Upload or select test document set: Data Governance Handbook PDF with no author metadata.
4. Submit the prompt.
5. Review the generated answer, retrieved sources, citations, and source snippets if displayed.
6. Compare the response against the source documents and record observations.</x:v>
      </x:c>
      <x:c r="J78" s="14" t="str">
        <x:v>AI should state the author is not specified and avoid guessing a person or department.</x:v>
      </x:c>
      <x:c r="K78" s="14" t="str">
        <x:v>Validate: Correct Document Retrieved (Yes/No); Correct Citation Generated (Yes/No); Grounded Response (Yes/No); Hallucination Prevented (Yes/No); Source Attribution Correct (Yes/No); Missing Information Handled Correctly (Yes/No).</x:v>
      </x:c>
      <x:c r="L78" s="14" t="str"/>
      <x:c r="M78" s="14" t="str"/>
      <x:c r="N78" s="14" t="str"/>
      <x:c r="O78" s="14" t="str"/>
      <x:c r="P78" s="14" t="str"/>
      <x:c r="Q78" s="14" t="str"/>
      <x:c r="R78" s="14" t="str"/>
      <x:c r="S78" s="14" t="str">
        <x:v>Not Executed</x:v>
      </x:c>
      <x:c r="T78" s="14" t="str">
        <x:v>High</x:v>
      </x:c>
      <x:c r="U78" s="14" t="str">
        <x:v>High</x:v>
      </x:c>
    </x:row>
    <x:row r="79" ht="92" customHeight="1">
      <x:c r="A79" s="14" t="str">
        <x:v>OWUI-RAG-TC-078</x:v>
      </x:c>
      <x:c r="B79" s="14" t="str">
        <x:v>OWUI-TS-045</x:v>
      </x:c>
      <x:c r="C79" s="14" t="str">
        <x:v>Missing Information Handling</x:v>
      </x:c>
      <x:c r="D79" s="14" t="str">
        <x:v>Validate missing effective date handling</x:v>
      </x:c>
      <x:c r="E79" s="14" t="str">
        <x:v>Verify AI does not invent effective date.</x:v>
      </x:c>
      <x:c r="F79" s="14" t="str">
        <x:v>Open WebUI is accessible. User is logged in. RAG/Knowledge Base and document upload features are enabled. Required test documents are available.</x:v>
      </x:c>
      <x:c r="G79" s="14" t="str">
        <x:v>Acceptable Use Policy DOCX without effective date</x:v>
      </x:c>
      <x:c r="H79" s="14" t="str">
        <x:v>What is the effective date of this policy?</x:v>
      </x:c>
      <x:c r="I79" s="14" t="str">
        <x:v>1. Login to Open WebUI with a valid test user account.
2. Start a new chat or RAG-enabled knowledge base session.
3. Upload or select test document set: Acceptable Use Policy DOCX without effective date.
4. Submit the prompt.
5. Review the generated answer, retrieved sources, citations, and source snippets if displayed.
6. Compare the response against the source documents and record observations.</x:v>
      </x:c>
      <x:c r="J79" s="14" t="str">
        <x:v>AI should state that the effective date is not specified in the document.</x:v>
      </x:c>
      <x:c r="K79" s="14" t="str">
        <x:v>Validate: Correct Document Retrieved (Yes/No); Correct Citation Generated (Yes/No); Grounded Response (Yes/No); Hallucination Prevented (Yes/No); Source Attribution Correct (Yes/No); Missing Information Handled Correctly (Yes/No).</x:v>
      </x:c>
      <x:c r="L79" s="14" t="str"/>
      <x:c r="M79" s="14" t="str"/>
      <x:c r="N79" s="14" t="str"/>
      <x:c r="O79" s="14" t="str"/>
      <x:c r="P79" s="14" t="str"/>
      <x:c r="Q79" s="14" t="str"/>
      <x:c r="R79" s="14" t="str"/>
      <x:c r="S79" s="14" t="str">
        <x:v>Not Executed</x:v>
      </x:c>
      <x:c r="T79" s="14" t="str">
        <x:v>High</x:v>
      </x:c>
      <x:c r="U79" s="14" t="str">
        <x:v>High</x:v>
      </x:c>
    </x:row>
    <x:row r="80" ht="92" customHeight="1">
      <x:c r="A80" s="14" t="str">
        <x:v>OWUI-RAG-TC-079</x:v>
      </x:c>
      <x:c r="B80" s="14" t="str">
        <x:v>OWUI-TS-045</x:v>
      </x:c>
      <x:c r="C80" s="14" t="str">
        <x:v>Missing Information Handling</x:v>
      </x:c>
      <x:c r="D80" s="14" t="str">
        <x:v>Validate missing approval owner handling</x:v>
      </x:c>
      <x:c r="E80" s="14" t="str">
        <x:v>Verify AI does not invent an approval owner.</x:v>
      </x:c>
      <x:c r="F80" s="14" t="str">
        <x:v>Open WebUI is accessible. User is logged in. RAG/Knowledge Base and document upload features are enabled. Required test documents are available.</x:v>
      </x:c>
      <x:c r="G80" s="14" t="str">
        <x:v>Project Charter DOCX without approver field</x:v>
      </x:c>
      <x:c r="H80" s="14" t="str">
        <x:v>Who approved this project charter?</x:v>
      </x:c>
      <x:c r="I80" s="14" t="str">
        <x:v>1. Login to Open WebUI with a valid test user account.
2. Start a new chat or RAG-enabled knowledge base session.
3. Upload or select test document set: Project Charter DOCX without approver field.
4. Submit the prompt.
5. Review the generated answer, retrieved sources, citations, and source snippets if displayed.
6. Compare the response against the source documents and record observations.</x:v>
      </x:c>
      <x:c r="J80" s="14" t="str">
        <x:v>AI should state that an approver is not specified and should not infer it from stakeholder names.</x:v>
      </x:c>
      <x:c r="K80" s="14" t="str">
        <x:v>Validate: Correct Document Retrieved (Yes/No); Correct Citation Generated (Yes/No); Grounded Response (Yes/No); Hallucination Prevented (Yes/No); Source Attribution Correct (Yes/No); Missing Information Handled Correctly (Yes/No).</x:v>
      </x:c>
      <x:c r="L80" s="14" t="str"/>
      <x:c r="M80" s="14" t="str"/>
      <x:c r="N80" s="14" t="str"/>
      <x:c r="O80" s="14" t="str"/>
      <x:c r="P80" s="14" t="str"/>
      <x:c r="Q80" s="14" t="str"/>
      <x:c r="R80" s="14" t="str"/>
      <x:c r="S80" s="14" t="str">
        <x:v>Not Executed</x:v>
      </x:c>
      <x:c r="T80" s="14" t="str">
        <x:v>High</x:v>
      </x:c>
      <x:c r="U80" s="14" t="str">
        <x:v>High</x:v>
      </x:c>
    </x:row>
    <x:row r="81" ht="92" customHeight="1">
      <x:c r="A81" s="14" t="str">
        <x:v>OWUI-RAG-TC-080</x:v>
      </x:c>
      <x:c r="B81" s="14" t="str">
        <x:v>OWUI-TS-045</x:v>
      </x:c>
      <x:c r="C81" s="14" t="str">
        <x:v>Missing Information Handling</x:v>
      </x:c>
      <x:c r="D81" s="14" t="str">
        <x:v>Validate missing document version handling</x:v>
      </x:c>
      <x:c r="E81" s="14" t="str">
        <x:v>Verify AI does not fabricate version numbers.</x:v>
      </x:c>
      <x:c r="F81" s="14" t="str">
        <x:v>Open WebUI is accessible. User is logged in. RAG/Knowledge Base and document upload features are enabled. Required test documents are available.</x:v>
      </x:c>
      <x:c r="G81" s="14" t="str">
        <x:v>Open WebUI User Guide PDF without version metadata</x:v>
      </x:c>
      <x:c r="H81" s="14" t="str">
        <x:v>Which version of the guide is this?</x:v>
      </x:c>
      <x:c r="I81" s="14" t="str">
        <x:v>1. Login to Open WebUI with a valid test user account.
2. Start a new chat or RAG-enabled knowledge base session.
3. Upload or select test document set: Open WebUI User Guide PDF without version metadata.
4. Submit the prompt.
5. Review the generated answer, retrieved sources, citations, and source snippets if displayed.
6. Compare the response against the source documents and record observations.</x:v>
      </x:c>
      <x:c r="J81" s="14" t="str">
        <x:v>AI should state version information is not available if not present in the document.</x:v>
      </x:c>
      <x:c r="K81" s="14" t="str">
        <x:v>Validate: Correct Document Retrieved (Yes/No); Correct Citation Generated (Yes/No); Grounded Response (Yes/No); Hallucination Prevented (Yes/No); Source Attribution Correct (Yes/No); Missing Information Handled Correctly (Yes/No).</x:v>
      </x:c>
      <x:c r="L81" s="14" t="str"/>
      <x:c r="M81" s="14" t="str"/>
      <x:c r="N81" s="14" t="str"/>
      <x:c r="O81" s="14" t="str"/>
      <x:c r="P81" s="14" t="str"/>
      <x:c r="Q81" s="14" t="str"/>
      <x:c r="R81" s="14" t="str"/>
      <x:c r="S81" s="14" t="str">
        <x:v>Not Executed</x:v>
      </x:c>
      <x:c r="T81" s="14" t="str">
        <x:v>High</x:v>
      </x:c>
      <x:c r="U81" s="14" t="str">
        <x:v>High</x:v>
      </x:c>
    </x:row>
    <x:row r="82" ht="92" customHeight="1">
      <x:c r="A82" s="14" t="str">
        <x:v>OWUI-RAG-TC-081</x:v>
      </x:c>
      <x:c r="B82" s="14" t="str">
        <x:v>OWUI-TS-045</x:v>
      </x:c>
      <x:c r="C82" s="14" t="str">
        <x:v>Missing Information Handling</x:v>
      </x:c>
      <x:c r="D82" s="14" t="str">
        <x:v>Validate missing policy limit handling</x:v>
      </x:c>
      <x:c r="E82" s="14" t="str">
        <x:v>Verify AI avoids unsupported numeric values.</x:v>
      </x:c>
      <x:c r="F82" s="14" t="str">
        <x:v>Open WebUI is accessible. User is logged in. RAG/Knowledge Base and document upload features are enabled. Required test documents are available.</x:v>
      </x:c>
      <x:c r="G82" s="14" t="str">
        <x:v>Travel Policy PDF with approval workflow but no monetary limits</x:v>
      </x:c>
      <x:c r="H82" s="14" t="str">
        <x:v>What is the maximum hotel reimbursement per night?</x:v>
      </x:c>
      <x:c r="I82" s="14" t="str">
        <x:v>1. Login to Open WebUI with a valid test user account.
2. Start a new chat or RAG-enabled knowledge base session.
3. Upload or select test document set: Travel Policy PDF with approval workflow but no monetary limits.
4. Submit the prompt.
5. Review the generated answer, retrieved sources, citations, and source snippets if displayed.
6. Compare the response against the source documents and record observations.</x:v>
      </x:c>
      <x:c r="J82" s="14" t="str">
        <x:v>AI should state that the maximum hotel reimbursement amount is not specified.</x:v>
      </x:c>
      <x:c r="K82" s="14" t="str">
        <x:v>Validate: Correct Document Retrieved (Yes/No); Correct Citation Generated (Yes/No); Grounded Response (Yes/No); Hallucination Prevented (Yes/No); Source Attribution Correct (Yes/No); Missing Information Handled Correctly (Yes/No).</x:v>
      </x:c>
      <x:c r="L82" s="14" t="str"/>
      <x:c r="M82" s="14" t="str"/>
      <x:c r="N82" s="14" t="str"/>
      <x:c r="O82" s="14" t="str"/>
      <x:c r="P82" s="14" t="str"/>
      <x:c r="Q82" s="14" t="str"/>
      <x:c r="R82" s="14" t="str"/>
      <x:c r="S82" s="14" t="str">
        <x:v>Not Executed</x:v>
      </x:c>
      <x:c r="T82" s="14" t="str">
        <x:v>High</x:v>
      </x:c>
      <x:c r="U82" s="14" t="str">
        <x:v>High</x:v>
      </x:c>
    </x:row>
    <x:row r="83" ht="92" customHeight="1">
      <x:c r="A83" s="14" t="str">
        <x:v>OWUI-RAG-TC-082</x:v>
      </x:c>
      <x:c r="B83" s="14" t="str">
        <x:v>OWUI-TS-045</x:v>
      </x:c>
      <x:c r="C83" s="14" t="str">
        <x:v>Missing Information Handling</x:v>
      </x:c>
      <x:c r="D83" s="14" t="str">
        <x:v>Validate missing compliance certification handling</x:v>
      </x:c>
      <x:c r="E83" s="14" t="str">
        <x:v>Verify AI does not infer certifications from security controls.</x:v>
      </x:c>
      <x:c r="F83" s="14" t="str">
        <x:v>Open WebUI is accessible. User is logged in. RAG/Knowledge Base and document upload features are enabled. Required test documents are available.</x:v>
      </x:c>
      <x:c r="G83" s="14" t="str">
        <x:v>Enterprise Security Policy PDF</x:v>
      </x:c>
      <x:c r="H83" s="14" t="str">
        <x:v>Does this document confirm ISO 27001 certification?</x:v>
      </x:c>
      <x:c r="I83" s="14" t="str">
        <x:v>1. Login to Open WebUI with a valid test user account.
2. Start a new chat or RAG-enabled knowledge base session.
3. Upload or select test document set: Enterprise Security Policy PDF.
4. Submit the prompt.
5. Review the generated answer, retrieved sources, citations, and source snippets if displayed.
6. Compare the response against the source documents and record observations.</x:v>
      </x:c>
      <x:c r="J83" s="14" t="str">
        <x:v>AI should state that the document does not confirm ISO 27001 certification unless explicitly present.</x:v>
      </x:c>
      <x:c r="K83" s="14" t="str">
        <x:v>Validate: Correct Document Retrieved (Yes/No); Correct Citation Generated (Yes/No); Grounded Response (Yes/No); Hallucination Prevented (Yes/No); Source Attribution Correct (Yes/No); Missing Information Handled Correctly (Yes/No).</x:v>
      </x:c>
      <x:c r="L83" s="14" t="str"/>
      <x:c r="M83" s="14" t="str"/>
      <x:c r="N83" s="14" t="str"/>
      <x:c r="O83" s="14" t="str"/>
      <x:c r="P83" s="14" t="str"/>
      <x:c r="Q83" s="14" t="str"/>
      <x:c r="R83" s="14" t="str"/>
      <x:c r="S83" s="14" t="str">
        <x:v>Not Executed</x:v>
      </x:c>
      <x:c r="T83" s="14" t="str">
        <x:v>High</x:v>
      </x:c>
      <x:c r="U83" s="14" t="str">
        <x:v>Critical</x:v>
      </x:c>
    </x:row>
    <x:row r="84" ht="92" customHeight="1">
      <x:c r="A84" s="14" t="str">
        <x:v>OWUI-RAG-TC-083</x:v>
      </x:c>
      <x:c r="B84" s="14" t="str">
        <x:v>OWUI-TS-045</x:v>
      </x:c>
      <x:c r="C84" s="14" t="str">
        <x:v>Missing Information Handling</x:v>
      </x:c>
      <x:c r="D84" s="14" t="str">
        <x:v>Validate missing source for comparison</x:v>
      </x:c>
      <x:c r="E84" s="14" t="str">
        <x:v>Verify AI asks for missing second document.</x:v>
      </x:c>
      <x:c r="F84" s="14" t="str">
        <x:v>Open WebUI is accessible. User is logged in. RAG/Knowledge Base and document upload features are enabled. Required test documents are available.</x:v>
      </x:c>
      <x:c r="G84" s="14" t="str">
        <x:v>Security Policy v2.0 PDF only</x:v>
      </x:c>
      <x:c r="H84" s="14" t="str">
        <x:v>Compare this with v1.0 and list all changes.</x:v>
      </x:c>
      <x:c r="I84" s="14" t="str">
        <x:v>1. Login to Open WebUI with a valid test user account.
2. Start a new chat or RAG-enabled knowledge base session.
3. Upload or select test document set: Security Policy v2.0 PDF only.
4. Submit the prompt.
5. Review the generated answer, retrieved sources, citations, and source snippets if displayed.
6. Compare the response against the source documents and record observations.</x:v>
      </x:c>
      <x:c r="J84" s="14" t="str">
        <x:v>AI should state that v1.0 is not available and ask for the missing version rather than inventing differences.</x:v>
      </x:c>
      <x:c r="K84" s="14" t="str">
        <x:v>Validate: Correct Document Retrieved (Yes/No); Correct Citation Generated (Yes/No); Grounded Response (Yes/No); Hallucination Prevented (Yes/No); Source Attribution Correct (Yes/No); Missing Information Handled Correctly (Yes/No).</x:v>
      </x:c>
      <x:c r="L84" s="14" t="str"/>
      <x:c r="M84" s="14" t="str"/>
      <x:c r="N84" s="14" t="str"/>
      <x:c r="O84" s="14" t="str"/>
      <x:c r="P84" s="14" t="str"/>
      <x:c r="Q84" s="14" t="str"/>
      <x:c r="R84" s="14" t="str"/>
      <x:c r="S84" s="14" t="str">
        <x:v>Not Executed</x:v>
      </x:c>
      <x:c r="T84" s="14" t="str">
        <x:v>High</x:v>
      </x:c>
      <x:c r="U84" s="14" t="str">
        <x:v>High</x:v>
      </x:c>
    </x:row>
    <x:row r="85" ht="92" customHeight="1">
      <x:c r="A85" s="14" t="str">
        <x:v>OWUI-RAG-TC-084</x:v>
      </x:c>
      <x:c r="B85" s="14" t="str">
        <x:v>OWUI-TS-045</x:v>
      </x:c>
      <x:c r="C85" s="14" t="str">
        <x:v>Missing Information Handling</x:v>
      </x:c>
      <x:c r="D85" s="14" t="str">
        <x:v>Validate missing answer in retrieved chunk</x:v>
      </x:c>
      <x:c r="E85" s="14" t="str">
        <x:v>Verify AI handles retrieval miss correctly.</x:v>
      </x:c>
      <x:c r="F85" s="14" t="str">
        <x:v>Open WebUI is accessible. User is logged in. RAG/Knowledge Base and document upload features are enabled. Required test documents are available.</x:v>
      </x:c>
      <x:c r="G85" s="14" t="str">
        <x:v>Open WebUI User FAQ PDF</x:v>
      </x:c>
      <x:c r="H85" s="14" t="str">
        <x:v>What is the database encryption algorithm used by the backend?</x:v>
      </x:c>
      <x:c r="I85"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85" s="14" t="str">
        <x:v>AI should state that the FAQ does not provide backend database encryption algorithm information and should not guess.</x:v>
      </x:c>
      <x:c r="K85" s="14" t="str">
        <x:v>Validate: Correct Document Retrieved (Yes/No); Correct Citation Generated (Yes/No); Grounded Response (Yes/No); Hallucination Prevented (Yes/No); Source Attribution Correct (Yes/No); Missing Information Handled Correctly (Yes/No).</x:v>
      </x:c>
      <x:c r="L85" s="14" t="str"/>
      <x:c r="M85" s="14" t="str"/>
      <x:c r="N85" s="14" t="str"/>
      <x:c r="O85" s="14" t="str"/>
      <x:c r="P85" s="14" t="str"/>
      <x:c r="Q85" s="14" t="str"/>
      <x:c r="R85" s="14" t="str"/>
      <x:c r="S85" s="14" t="str">
        <x:v>Not Executed</x:v>
      </x:c>
      <x:c r="T85" s="14" t="str">
        <x:v>High</x:v>
      </x:c>
      <x:c r="U85" s="14" t="str">
        <x:v>High</x:v>
      </x:c>
    </x:row>
    <x:row r="86" ht="92" customHeight="1">
      <x:c r="A86" s="14" t="str">
        <x:v>OWUI-RAG-TC-085</x:v>
      </x:c>
      <x:c r="B86" s="14" t="str">
        <x:v>OWUI-TS-043</x:v>
      </x:c>
      <x:c r="C86" s="14" t="str">
        <x:v>Document Ranking Validation</x:v>
      </x:c>
      <x:c r="D86" s="14" t="str">
        <x:v>Validate latest version ranks above older version</x:v>
      </x:c>
      <x:c r="E86" s="14" t="str">
        <x:v>Verify latest document version is selected for current-policy query.</x:v>
      </x:c>
      <x:c r="F86" s="14" t="str">
        <x:v>Open WebUI is accessible. User is logged in. RAG/Knowledge Base and document upload features are enabled. Required test documents are available.</x:v>
      </x:c>
      <x:c r="G86" s="14" t="str">
        <x:v>Security Policy v1.0 PDF; Security Policy v2.0 PDF</x:v>
      </x:c>
      <x:c r="H86" s="14" t="str">
        <x:v>What is the current MFA requirement?</x:v>
      </x:c>
      <x:c r="I86" s="14" t="str">
        <x:v>1. Login to Open WebUI with a valid test user account.
2. Start a new chat or RAG-enabled knowledge base session.
3. Upload or select test document set: Security Policy v1.0 PDF; Security Policy v2.0 PDF.
4. Submit the prompt.
5. Review the generated answer, retrieved sources, citations, and source snippets if displayed.
6. Compare the response against the source documents and record observations.</x:v>
      </x:c>
      <x:c r="J86" s="14" t="str">
        <x:v>AI should rank v2.0 above v1.0 and answer from v2.0 unless the prompt requests history.</x:v>
      </x:c>
      <x:c r="K86" s="14" t="str">
        <x:v>Validate: Correct Document Retrieved (Yes/No); Correct Citation Generated (Yes/No); Grounded Response (Yes/No); Hallucination Prevented (Yes/No); Source Attribution Correct (Yes/No); Missing Information Handled Correctly (Yes/No).</x:v>
      </x:c>
      <x:c r="L86" s="14" t="str"/>
      <x:c r="M86" s="14" t="str"/>
      <x:c r="N86" s="14" t="str"/>
      <x:c r="O86" s="14" t="str"/>
      <x:c r="P86" s="14" t="str"/>
      <x:c r="Q86" s="14" t="str"/>
      <x:c r="R86" s="14" t="str"/>
      <x:c r="S86" s="14" t="str">
        <x:v>Not Executed</x:v>
      </x:c>
      <x:c r="T86" s="14" t="str">
        <x:v>High</x:v>
      </x:c>
      <x:c r="U86" s="14" t="str">
        <x:v>High</x:v>
      </x:c>
    </x:row>
    <x:row r="87" ht="92" customHeight="1">
      <x:c r="A87" s="14" t="str">
        <x:v>OWUI-RAG-TC-086</x:v>
      </x:c>
      <x:c r="B87" s="14" t="str">
        <x:v>OWUI-TS-043</x:v>
      </x:c>
      <x:c r="C87" s="14" t="str">
        <x:v>Document Ranking Validation</x:v>
      </x:c>
      <x:c r="D87" s="14" t="str">
        <x:v>Validate exact title ranks above similar title</x:v>
      </x:c>
      <x:c r="E87" s="14" t="str">
        <x:v>Verify exact document title match ranks highest.</x:v>
      </x:c>
      <x:c r="F87" s="14" t="str">
        <x:v>Open WebUI is accessible. User is logged in. RAG/Knowledge Base and document upload features are enabled. Required test documents are available.</x:v>
      </x:c>
      <x:c r="G87" s="14" t="str">
        <x:v>Data Retention Policy PDF; Data Classification Policy PDF</x:v>
      </x:c>
      <x:c r="H87" s="14" t="str">
        <x:v>According to the Data Retention Policy, how long are customer records retained?</x:v>
      </x:c>
      <x:c r="I87" s="14" t="str">
        <x:v>1. Login to Open WebUI with a valid test user account.
2. Start a new chat or RAG-enabled knowledge base session.
3. Upload or select test document set: Data Retention Policy PDF; Data Classification Policy PDF.
4. Submit the prompt.
5. Review the generated answer, retrieved sources, citations, and source snippets if displayed.
6. Compare the response against the source documents and record observations.</x:v>
      </x:c>
      <x:c r="J87" s="14" t="str">
        <x:v>AI should retrieve Data Retention Policy as the primary source, not Data Classification Policy.</x:v>
      </x:c>
      <x:c r="K87" s="14" t="str">
        <x:v>Validate: Correct Document Retrieved (Yes/No); Correct Citation Generated (Yes/No); Grounded Response (Yes/No); Hallucination Prevented (Yes/No); Source Attribution Correct (Yes/No); Missing Information Handled Correctly (Yes/No).</x:v>
      </x:c>
      <x:c r="L87" s="14" t="str"/>
      <x:c r="M87" s="14" t="str"/>
      <x:c r="N87" s="14" t="str"/>
      <x:c r="O87" s="14" t="str"/>
      <x:c r="P87" s="14" t="str"/>
      <x:c r="Q87" s="14" t="str"/>
      <x:c r="R87" s="14" t="str"/>
      <x:c r="S87" s="14" t="str">
        <x:v>Not Executed</x:v>
      </x:c>
      <x:c r="T87" s="14" t="str">
        <x:v>High</x:v>
      </x:c>
      <x:c r="U87" s="14" t="str">
        <x:v>High</x:v>
      </x:c>
    </x:row>
    <x:row r="88" ht="92" customHeight="1">
      <x:c r="A88" s="14" t="str">
        <x:v>OWUI-RAG-TC-087</x:v>
      </x:c>
      <x:c r="B88" s="14" t="str">
        <x:v>OWUI-TS-043</x:v>
      </x:c>
      <x:c r="C88" s="14" t="str">
        <x:v>Document Ranking Validation</x:v>
      </x:c>
      <x:c r="D88" s="14" t="str">
        <x:v>Validate FAQ ranks above unrelated policy for user question</x:v>
      </x:c>
      <x:c r="E88" s="14" t="str">
        <x:v>Verify user FAQ is selected for end-user workflow query.</x:v>
      </x:c>
      <x:c r="F88" s="14" t="str">
        <x:v>Open WebUI is accessible. User is logged in. RAG/Knowledge Base and document upload features are enabled. Required test documents are available.</x:v>
      </x:c>
      <x:c r="G88" s="14" t="str">
        <x:v>Open WebUI User FAQ PDF; Enterprise Security Policy PDF</x:v>
      </x:c>
      <x:c r="H88" s="14" t="str">
        <x:v>How do I reset my Open WebUI password?</x:v>
      </x:c>
      <x:c r="I88" s="14" t="str">
        <x:v>1. Login to Open WebUI with a valid test user account.
2. Start a new chat or RAG-enabled knowledge base session.
3. Upload or select test document set: Open WebUI User FAQ PDF; Enterprise Security Policy PDF.
4. Submit the prompt.
5. Review the generated answer, retrieved sources, citations, and source snippets if displayed.
6. Compare the response against the source documents and record observations.</x:v>
      </x:c>
      <x:c r="J88" s="14" t="str">
        <x:v>AI should rank the User FAQ above Security Policy for password reset workflow.</x:v>
      </x:c>
      <x:c r="K88" s="14" t="str">
        <x:v>Validate: Correct Document Retrieved (Yes/No); Correct Citation Generated (Yes/No); Grounded Response (Yes/No); Hallucination Prevented (Yes/No); Source Attribution Correct (Yes/No); Missing Information Handled Correctly (Yes/No).</x:v>
      </x:c>
      <x:c r="L88" s="14" t="str"/>
      <x:c r="M88" s="14" t="str"/>
      <x:c r="N88" s="14" t="str"/>
      <x:c r="O88" s="14" t="str"/>
      <x:c r="P88" s="14" t="str"/>
      <x:c r="Q88" s="14" t="str"/>
      <x:c r="R88" s="14" t="str"/>
      <x:c r="S88" s="14" t="str">
        <x:v>Not Executed</x:v>
      </x:c>
      <x:c r="T88" s="14" t="str">
        <x:v>High</x:v>
      </x:c>
      <x:c r="U88" s="14" t="str">
        <x:v>High</x:v>
      </x:c>
    </x:row>
    <x:row r="89" ht="92" customHeight="1">
      <x:c r="A89" s="14" t="str">
        <x:v>OWUI-RAG-TC-088</x:v>
      </x:c>
      <x:c r="B89" s="14" t="str">
        <x:v>OWUI-TS-043</x:v>
      </x:c>
      <x:c r="C89" s="14" t="str">
        <x:v>Document Ranking Validation</x:v>
      </x:c>
      <x:c r="D89" s="14" t="str">
        <x:v>Validate admin guide ranks above user guide for configuration query</x:v>
      </x:c>
      <x:c r="E89" s="14" t="str">
        <x:v>Verify admin documentation ranks highest for admin-only setup question.</x:v>
      </x:c>
      <x:c r="F89" s="14" t="str">
        <x:v>Open WebUI is accessible. User is logged in. RAG/Knowledge Base and document upload features are enabled. Required test documents are available.</x:v>
      </x:c>
      <x:c r="G89" s="14" t="str">
        <x:v>Open WebUI User Guide PDF; Open WebUI Admin Guide PDF</x:v>
      </x:c>
      <x:c r="H89" s="14" t="str">
        <x:v>How do I configure model access for users?</x:v>
      </x:c>
      <x:c r="I89" s="14" t="str">
        <x:v>1. Login to Open WebUI with a valid test user account.
2. Start a new chat or RAG-enabled knowledge base session.
3. Upload or select test document set: Open WebUI User Guide PDF; Open WebUI Admin Guide PDF.
4. Submit the prompt.
5. Review the generated answer, retrieved sources, citations, and source snippets if displayed.
6. Compare the response against the source documents and record observations.</x:v>
      </x:c>
      <x:c r="J89" s="14" t="str">
        <x:v>AI should retrieve Admin Guide as the most relevant document.</x:v>
      </x:c>
      <x:c r="K89" s="14" t="str">
        <x:v>Validate: Correct Document Retrieved (Yes/No); Correct Citation Generated (Yes/No); Grounded Response (Yes/No); Hallucination Prevented (Yes/No); Source Attribution Correct (Yes/No); Missing Information Handled Correctly (Yes/No).</x:v>
      </x:c>
      <x:c r="L89" s="14" t="str"/>
      <x:c r="M89" s="14" t="str"/>
      <x:c r="N89" s="14" t="str"/>
      <x:c r="O89" s="14" t="str"/>
      <x:c r="P89" s="14" t="str"/>
      <x:c r="Q89" s="14" t="str"/>
      <x:c r="R89" s="14" t="str"/>
      <x:c r="S89" s="14" t="str">
        <x:v>Not Executed</x:v>
      </x:c>
      <x:c r="T89" s="14" t="str">
        <x:v>High</x:v>
      </x:c>
      <x:c r="U89" s="14" t="str">
        <x:v>High</x:v>
      </x:c>
    </x:row>
    <x:row r="90" ht="92" customHeight="1">
      <x:c r="A90" s="14" t="str">
        <x:v>OWUI-RAG-TC-089</x:v>
      </x:c>
      <x:c r="B90" s="14" t="str">
        <x:v>OWUI-TS-043</x:v>
      </x:c>
      <x:c r="C90" s="14" t="str">
        <x:v>Document Ranking Validation</x:v>
      </x:c>
      <x:c r="D90" s="14" t="str">
        <x:v>Validate troubleshooting guide ranks above release notes for error code</x:v>
      </x:c>
      <x:c r="E90" s="14" t="str">
        <x:v>Verify error code query ranks troubleshooting content first.</x:v>
      </x:c>
      <x:c r="F90" s="14" t="str">
        <x:v>Open WebUI is accessible. User is logged in. RAG/Knowledge Base and document upload features are enabled. Required test documents are available.</x:v>
      </x:c>
      <x:c r="G90" s="14" t="str">
        <x:v>Release Notes PDF; Troubleshooting Guide PDF</x:v>
      </x:c>
      <x:c r="H90" s="14" t="str">
        <x:v>How do I resolve error OWUI-UPLOAD-413?</x:v>
      </x:c>
      <x:c r="I90" s="14" t="str">
        <x:v>1. Login to Open WebUI with a valid test user account.
2. Start a new chat or RAG-enabled knowledge base session.
3. Upload or select test document set: Release Notes PDF; Troubleshooting Guide PDF.
4. Submit the prompt.
5. Review the generated answer, retrieved sources, citations, and source snippets if displayed.
6. Compare the response against the source documents and record observations.</x:v>
      </x:c>
      <x:c r="J90" s="14" t="str">
        <x:v>AI should rank the troubleshooting guide above release notes and cite the error resolution entry.</x:v>
      </x:c>
      <x:c r="K90" s="14" t="str">
        <x:v>Validate: Correct Document Retrieved (Yes/No); Correct Citation Generated (Yes/No); Grounded Response (Yes/No); Hallucination Prevented (Yes/No); Source Attribution Correct (Yes/No); Missing Information Handled Correctly (Yes/No).</x:v>
      </x:c>
      <x:c r="L90" s="14" t="str"/>
      <x:c r="M90" s="14" t="str"/>
      <x:c r="N90" s="14" t="str"/>
      <x:c r="O90" s="14" t="str"/>
      <x:c r="P90" s="14" t="str"/>
      <x:c r="Q90" s="14" t="str"/>
      <x:c r="R90" s="14" t="str"/>
      <x:c r="S90" s="14" t="str">
        <x:v>Not Executed</x:v>
      </x:c>
      <x:c r="T90" s="14" t="str">
        <x:v>High</x:v>
      </x:c>
      <x:c r="U90" s="14" t="str">
        <x:v>High</x:v>
      </x:c>
    </x:row>
    <x:row r="91" ht="92" customHeight="1">
      <x:c r="A91" s="14" t="str">
        <x:v>OWUI-RAG-TC-090</x:v>
      </x:c>
      <x:c r="B91" s="14" t="str">
        <x:v>OWUI-TS-043</x:v>
      </x:c>
      <x:c r="C91" s="14" t="str">
        <x:v>Document Ranking Validation</x:v>
      </x:c>
      <x:c r="D91" s="14" t="str">
        <x:v>Validate policy section ranks above glossary for procedural query</x:v>
      </x:c>
      <x:c r="E91" s="14" t="str">
        <x:v>Verify procedural section is used over generic glossary definition.</x:v>
      </x:c>
      <x:c r="F91" s="14" t="str">
        <x:v>Open WebUI is accessible. User is logged in. RAG/Knowledge Base and document upload features are enabled. Required test documents are available.</x:v>
      </x:c>
      <x:c r="G91" s="14" t="str">
        <x:v>Data Governance Handbook PDF</x:v>
      </x:c>
      <x:c r="H91" s="14" t="str">
        <x:v>What steps are required to classify a new dataset?</x:v>
      </x:c>
      <x:c r="I91" s="14" t="str">
        <x:v>1. Login to Open WebUI with a valid test user account.
2. Start a new chat or RAG-enabled knowledge base session.
3. Upload or select test document set: Data Governance Handbook PDF.
4. Submit the prompt.
5. Review the generated answer, retrieved sources, citations, and source snippets if displayed.
6. Compare the response against the source documents and record observations.</x:v>
      </x:c>
      <x:c r="J91" s="14" t="str">
        <x:v>AI should retrieve the procedure section, not only the glossary definition of dataset classification.</x:v>
      </x:c>
      <x:c r="K91" s="14" t="str">
        <x:v>Validate: Correct Document Retrieved (Yes/No); Correct Citation Generated (Yes/No); Grounded Response (Yes/No); Hallucination Prevented (Yes/No); Source Attribution Correct (Yes/No); Missing Information Handled Correctly (Yes/No).</x:v>
      </x:c>
      <x:c r="L91" s="14" t="str"/>
      <x:c r="M91" s="14" t="str"/>
      <x:c r="N91" s="14" t="str"/>
      <x:c r="O91" s="14" t="str"/>
      <x:c r="P91" s="14" t="str"/>
      <x:c r="Q91" s="14" t="str"/>
      <x:c r="R91" s="14" t="str"/>
      <x:c r="S91" s="14" t="str">
        <x:v>Not Executed</x:v>
      </x:c>
      <x:c r="T91" s="14" t="str">
        <x:v>High</x:v>
      </x:c>
      <x:c r="U91" s="14" t="str">
        <x:v>High</x:v>
      </x:c>
    </x:row>
    <x:row r="92" ht="92" customHeight="1">
      <x:c r="A92" s="14" t="str">
        <x:v>OWUI-RAG-TC-091</x:v>
      </x:c>
      <x:c r="B92" s="14" t="str">
        <x:v>OWUI-TS-043</x:v>
      </x:c>
      <x:c r="C92" s="14" t="str">
        <x:v>Document Ranking Validation</x:v>
      </x:c>
      <x:c r="D92" s="14" t="str">
        <x:v>Validate table row ranks above paragraph mention</x:v>
      </x:c>
      <x:c r="E92" s="14" t="str">
        <x:v>Verify specific table row is retrieved for value query.</x:v>
      </x:c>
      <x:c r="F92" s="14" t="str">
        <x:v>Open WebUI is accessible. User is logged in. RAG/Knowledge Base and document upload features are enabled. Required test documents are available.</x:v>
      </x:c>
      <x:c r="G92" s="14" t="str">
        <x:v>Password Policy PDF</x:v>
      </x:c>
      <x:c r="H92" s="14" t="str">
        <x:v>What is the minimum password length?</x:v>
      </x:c>
      <x:c r="I92" s="14" t="str">
        <x:v>1. Login to Open WebUI with a valid test user account.
2. Start a new chat or RAG-enabled knowledge base session.
3. Upload or select test document set: Password Policy PDF.
4. Submit the prompt.
5. Review the generated answer, retrieved sources, citations, and source snippets if displayed.
6. Compare the response against the source documents and record observations.</x:v>
      </x:c>
      <x:c r="J92" s="14" t="str">
        <x:v>AI should retrieve the password control table row containing the value, not a general password policy paragraph.</x:v>
      </x:c>
      <x:c r="K92" s="14" t="str">
        <x:v>Validate: Correct Document Retrieved (Yes/No); Correct Citation Generated (Yes/No); Grounded Response (Yes/No); Hallucination Prevented (Yes/No); Source Attribution Correct (Yes/No); Missing Information Handled Correctly (Yes/No).</x:v>
      </x:c>
      <x:c r="L92" s="14" t="str"/>
      <x:c r="M92" s="14" t="str"/>
      <x:c r="N92" s="14" t="str"/>
      <x:c r="O92" s="14" t="str"/>
      <x:c r="P92" s="14" t="str"/>
      <x:c r="Q92" s="14" t="str"/>
      <x:c r="R92" s="14" t="str"/>
      <x:c r="S92" s="14" t="str">
        <x:v>Not Executed</x:v>
      </x:c>
      <x:c r="T92" s="14" t="str">
        <x:v>High</x:v>
      </x:c>
      <x:c r="U92" s="14" t="str">
        <x:v>High</x:v>
      </x:c>
    </x:row>
    <x:row r="93" ht="92" customHeight="1">
      <x:c r="A93" s="14" t="str">
        <x:v>OWUI-RAG-TC-092</x:v>
      </x:c>
      <x:c r="B93" s="14" t="str">
        <x:v>OWUI-TS-043</x:v>
      </x:c>
      <x:c r="C93" s="14" t="str">
        <x:v>Document Ranking Validation</x:v>
      </x:c>
      <x:c r="D93" s="14" t="str">
        <x:v>Validate exact requirement ranks above generic requirement section</x:v>
      </x:c>
      <x:c r="E93" s="14" t="str">
        <x:v>Verify specific requirement ID retrieval ranks exact row highest.</x:v>
      </x:c>
      <x:c r="F93" s="14" t="str">
        <x:v>Open WebUI is accessible. User is logged in. RAG/Knowledge Base and document upload features are enabled. Required test documents are available.</x:v>
      </x:c>
      <x:c r="G93" s="14" t="str">
        <x:v>Requirements Traceability Matrix PDF</x:v>
      </x:c>
      <x:c r="H93" s="14" t="str">
        <x:v>Show OWUI-REQ-014 details.</x:v>
      </x:c>
      <x:c r="I93" s="14" t="str">
        <x:v>1. Login to Open WebUI with a valid test user account.
2. Start a new chat or RAG-enabled knowledge base session.
3. Upload or select test document set: Requirements Traceability Matrix PDF.
4. Submit the prompt.
5. Review the generated answer, retrieved sources, citations, and source snippets if displayed.
6. Compare the response against the source documents and record observations.</x:v>
      </x:c>
      <x:c r="J93" s="14" t="str">
        <x:v>AI should rank the exact requirement row highest and avoid summarizing nearby requirements.</x:v>
      </x:c>
      <x:c r="K93" s="14" t="str">
        <x:v>Validate: Correct Document Retrieved (Yes/No); Correct Citation Generated (Yes/No); Grounded Response (Yes/No); Hallucination Prevented (Yes/No); Source Attribution Correct (Yes/No); Missing Information Handled Correctly (Yes/No).</x:v>
      </x:c>
      <x:c r="L93" s="14" t="str"/>
      <x:c r="M93" s="14" t="str"/>
      <x:c r="N93" s="14" t="str"/>
      <x:c r="O93" s="14" t="str"/>
      <x:c r="P93" s="14" t="str"/>
      <x:c r="Q93" s="14" t="str"/>
      <x:c r="R93" s="14" t="str"/>
      <x:c r="S93" s="14" t="str">
        <x:v>Not Executed</x:v>
      </x:c>
      <x:c r="T93" s="14" t="str">
        <x:v>High</x:v>
      </x:c>
      <x:c r="U93" s="14" t="str">
        <x:v>High</x:v>
      </x:c>
    </x:row>
    <x:row r="94" ht="92" customHeight="1">
      <x:c r="A94" s="14" t="str">
        <x:v>OWUI-RAG-TC-093</x:v>
      </x:c>
      <x:c r="B94" s="14" t="str">
        <x:v>OWUI-TS-043</x:v>
      </x:c>
      <x:c r="C94" s="14" t="str">
        <x:v>Document Ranking Validation</x:v>
      </x:c>
      <x:c r="D94" s="14" t="str">
        <x:v>Validate relevant policy ranks above cafeteria menu</x:v>
      </x:c>
      <x:c r="E94" s="14" t="str">
        <x:v>Verify irrelevant documents are not retrieved.</x:v>
      </x:c>
      <x:c r="F94" s="14" t="str">
        <x:v>Open WebUI is accessible. User is logged in. RAG/Knowledge Base and document upload features are enabled. Required test documents are available.</x:v>
      </x:c>
      <x:c r="G94" s="14" t="str">
        <x:v>Security Policy PDF; Office Cafeteria Menu PDF</x:v>
      </x:c>
      <x:c r="H94" s="14" t="str">
        <x:v>What are the requirements for privileged access review?</x:v>
      </x:c>
      <x:c r="I94" s="14" t="str">
        <x:v>1. Login to Open WebUI with a valid test user account.
2. Start a new chat or RAG-enabled knowledge base session.
3. Upload or select test document set: Security Policy PDF; Office Cafeteria Menu PDF.
4. Submit the prompt.
5. Review the generated answer, retrieved sources, citations, and source snippets if displayed.
6. Compare the response against the source documents and record observations.</x:v>
      </x:c>
      <x:c r="J94" s="14" t="str">
        <x:v>AI should retrieve Security Policy and ignore cafeteria menu.</x:v>
      </x:c>
      <x:c r="K94" s="14" t="str">
        <x:v>Validate: Correct Document Retrieved (Yes/No); Correct Citation Generated (Yes/No); Grounded Response (Yes/No); Hallucination Prevented (Yes/No); Source Attribution Correct (Yes/No); Missing Information Handled Correctly (Yes/No).</x:v>
      </x:c>
      <x:c r="L94" s="14" t="str"/>
      <x:c r="M94" s="14" t="str"/>
      <x:c r="N94" s="14" t="str"/>
      <x:c r="O94" s="14" t="str"/>
      <x:c r="P94" s="14" t="str"/>
      <x:c r="Q94" s="14" t="str"/>
      <x:c r="R94" s="14" t="str"/>
      <x:c r="S94" s="14" t="str">
        <x:v>Not Executed</x:v>
      </x:c>
      <x:c r="T94" s="14" t="str">
        <x:v>High</x:v>
      </x:c>
      <x:c r="U94" s="14" t="str">
        <x:v>High</x:v>
      </x:c>
    </x:row>
    <x:row r="95" ht="92" customHeight="1">
      <x:c r="A95" s="14" t="str">
        <x:v>OWUI-RAG-TC-094</x:v>
      </x:c>
      <x:c r="B95" s="14" t="str">
        <x:v>OWUI-TS-043</x:v>
      </x:c>
      <x:c r="C95" s="14" t="str">
        <x:v>Document Ranking Validation</x:v>
      </x:c>
      <x:c r="D95" s="14" t="str">
        <x:v>Validate similar acronym disambiguation</x:v>
      </x:c>
      <x:c r="E95" s="14" t="str">
        <x:v>Verify document ranking handles duplicate acronyms correctly.</x:v>
      </x:c>
      <x:c r="F95" s="14" t="str">
        <x:v>Open WebUI is accessible. User is logged in. RAG/Knowledge Base and document upload features are enabled. Required test documents are available.</x:v>
      </x:c>
      <x:c r="G95" s="14" t="str">
        <x:v>Data Protection Impact Assessment Guide PDF; Desktop Performance Improvement Appendix PDF</x:v>
      </x:c>
      <x:c r="H95" s="14" t="str">
        <x:v>What does DPIA require for privacy review?</x:v>
      </x:c>
      <x:c r="I95" s="14" t="str">
        <x:v>1. Login to Open WebUI with a valid test user account.
2. Start a new chat or RAG-enabled knowledge base session.
3. Upload or select test document set: Data Protection Impact Assessment Guide PDF; Desktop Performance Improvement Appendix PDF.
4. Submit the prompt.
5. Review the generated answer, retrieved sources, citations, and source snippets if displayed.
6. Compare the response against the source documents and record observations.</x:v>
      </x:c>
      <x:c r="J95" s="14" t="str">
        <x:v>AI should rank the Data Protection Impact Assessment Guide above unrelated acronym content.</x:v>
      </x:c>
      <x:c r="K95" s="14" t="str">
        <x:v>Validate: Correct Document Retrieved (Yes/No); Correct Citation Generated (Yes/No); Grounded Response (Yes/No); Hallucination Prevented (Yes/No); Source Attribution Correct (Yes/No); Missing Information Handled Correctly (Yes/No).</x:v>
      </x:c>
      <x:c r="L95" s="14" t="str"/>
      <x:c r="M95" s="14" t="str"/>
      <x:c r="N95" s="14" t="str"/>
      <x:c r="O95" s="14" t="str"/>
      <x:c r="P95" s="14" t="str"/>
      <x:c r="Q95" s="14" t="str"/>
      <x:c r="R95" s="14" t="str"/>
      <x:c r="S95" s="14" t="str">
        <x:v>Not Executed</x:v>
      </x:c>
      <x:c r="T95" s="14" t="str">
        <x:v>High</x:v>
      </x:c>
      <x:c r="U95" s="14" t="str">
        <x:v>High</x:v>
      </x:c>
    </x:row>
    <x:row r="96" ht="92" customHeight="1">
      <x:c r="A96" s="14" t="str">
        <x:v>OWUI-RAG-TC-095</x:v>
      </x:c>
      <x:c r="B96" s="14" t="str">
        <x:v>OWUI-TS-043</x:v>
      </x:c>
      <x:c r="C96" s="14" t="str">
        <x:v>Document Ranking Validation</x:v>
      </x:c>
      <x:c r="D96" s="14" t="str">
        <x:v>Validate current document ranks above archived document</x:v>
      </x:c>
      <x:c r="E96" s="14" t="str">
        <x:v>Verify archived content is deprioritized.</x:v>
      </x:c>
      <x:c r="F96" s="14" t="str">
        <x:v>Open WebUI is accessible. User is logged in. RAG/Knowledge Base and document upload features are enabled. Required test documents are available.</x:v>
      </x:c>
      <x:c r="G96" s="14" t="str">
        <x:v>Archived Leave Policy 2023 PDF; Current Leave Policy 2026 PDF</x:v>
      </x:c>
      <x:c r="H96" s="14" t="str">
        <x:v>What is the current annual leave carry-forward limit?</x:v>
      </x:c>
      <x:c r="I96" s="14" t="str">
        <x:v>1. Login to Open WebUI with a valid test user account.
2. Start a new chat or RAG-enabled knowledge base session.
3. Upload or select test document set: Archived Leave Policy 2023 PDF; Current Leave Policy 2026 PDF.
4. Submit the prompt.
5. Review the generated answer, retrieved sources, citations, and source snippets if displayed.
6. Compare the response against the source documents and record observations.</x:v>
      </x:c>
      <x:c r="J96" s="14" t="str">
        <x:v>AI should rank Current Leave Policy 2026 above archived policy.</x:v>
      </x:c>
      <x:c r="K96" s="14" t="str">
        <x:v>Validate: Correct Document Retrieved (Yes/No); Correct Citation Generated (Yes/No); Grounded Response (Yes/No); Hallucination Prevented (Yes/No); Source Attribution Correct (Yes/No); Missing Information Handled Correctly (Yes/No).</x:v>
      </x:c>
      <x:c r="L96" s="14" t="str"/>
      <x:c r="M96" s="14" t="str"/>
      <x:c r="N96" s="14" t="str"/>
      <x:c r="O96" s="14" t="str"/>
      <x:c r="P96" s="14" t="str"/>
      <x:c r="Q96" s="14" t="str"/>
      <x:c r="R96" s="14" t="str"/>
      <x:c r="S96" s="14" t="str">
        <x:v>Not Executed</x:v>
      </x:c>
      <x:c r="T96" s="14" t="str">
        <x:v>High</x:v>
      </x:c>
      <x:c r="U96" s="14" t="str">
        <x:v>High</x:v>
      </x:c>
    </x:row>
    <x:row r="97" ht="92" customHeight="1">
      <x:c r="A97" s="14" t="str">
        <x:v>OWUI-RAG-TC-096</x:v>
      </x:c>
      <x:c r="B97" s="14" t="str">
        <x:v>OWUI-TS-043</x:v>
      </x:c>
      <x:c r="C97" s="14" t="str">
        <x:v>Document Ranking Validation</x:v>
      </x:c>
      <x:c r="D97" s="14" t="str">
        <x:v>Validate selected knowledge collection ranking</x:v>
      </x:c>
      <x:c r="E97" s="14" t="str">
        <x:v>Verify chosen knowledge base collection is prioritized.</x:v>
      </x:c>
      <x:c r="F97" s="14" t="str">
        <x:v>Open WebUI is accessible. User is logged in. RAG/Knowledge Base and document upload features are enabled. Required test documents are available.</x:v>
      </x:c>
      <x:c r="G97" s="14" t="str">
        <x:v>Open WebUI Admin KB; General IT KB</x:v>
      </x:c>
      <x:c r="H97" s="14" t="str">
        <x:v>How can admins restrict model access in Open WebUI?</x:v>
      </x:c>
      <x:c r="I97" s="14" t="str">
        <x:v>1. Login to Open WebUI with a valid test user account.
2. Start a new chat or RAG-enabled knowledge base session.
3. Upload or select test document set: Open WebUI Admin KB; General IT KB.
4. Submit the prompt.
5. Review the generated answer, retrieved sources, citations, and source snippets if displayed.
6. Compare the response against the source documents and record observations.</x:v>
      </x:c>
      <x:c r="J97" s="14" t="str">
        <x:v>AI should rank Open WebUI Admin KB results above general IT KB results.</x:v>
      </x:c>
      <x:c r="K97" s="14" t="str">
        <x:v>Validate: Correct Document Retrieved (Yes/No); Correct Citation Generated (Yes/No); Grounded Response (Yes/No); Hallucination Prevented (Yes/No); Source Attribution Correct (Yes/No); Missing Information Handled Correctly (Yes/No).</x:v>
      </x:c>
      <x:c r="L97" s="14" t="str"/>
      <x:c r="M97" s="14" t="str"/>
      <x:c r="N97" s="14" t="str"/>
      <x:c r="O97" s="14" t="str"/>
      <x:c r="P97" s="14" t="str"/>
      <x:c r="Q97" s="14" t="str"/>
      <x:c r="R97" s="14" t="str"/>
      <x:c r="S97" s="14" t="str">
        <x:v>Not Executed</x:v>
      </x:c>
      <x:c r="T97" s="14" t="str">
        <x:v>High</x:v>
      </x:c>
      <x:c r="U97" s="14" t="str">
        <x:v>High</x:v>
      </x:c>
    </x:row>
    <x:row r="98" ht="92" customHeight="1">
      <x:c r="A98" s="14" t="str">
        <x:v>OWUI-RAG-TC-097</x:v>
      </x:c>
      <x:c r="B98" s="14" t="str">
        <x:v>OWUI-TS-043</x:v>
      </x:c>
      <x:c r="C98" s="14" t="str">
        <x:v>Document Ranking Validation</x:v>
      </x:c>
      <x:c r="D98" s="14" t="str">
        <x:v>Validate ranking for multi-keyword exact query</x:v>
      </x:c>
      <x:c r="E98" s="14" t="str">
        <x:v>Verify query with several exact keywords retrieves precise source.</x:v>
      </x:c>
      <x:c r="F98" s="14" t="str">
        <x:v>Open WebUI is accessible. User is logged in. RAG/Knowledge Base and document upload features are enabled. Required test documents are available.</x:v>
      </x:c>
      <x:c r="G98" s="14" t="str">
        <x:v>Incident Management SOP DOCX; Change Management SOP DOCX</x:v>
      </x:c>
      <x:c r="H98" s="14" t="str">
        <x:v>Severity 1 escalation bridge owner</x:v>
      </x:c>
      <x:c r="I98" s="14" t="str">
        <x:v>1. Login to Open WebUI with a valid test user account.
2. Start a new chat or RAG-enabled knowledge base session.
3. Upload or select test document set: Incident Management SOP DOCX; Change Management SOP DOCX.
4. Submit the prompt.
5. Review the generated answer, retrieved sources, citations, and source snippets if displayed.
6. Compare the response against the source documents and record observations.</x:v>
      </x:c>
      <x:c r="J98" s="14" t="str">
        <x:v>AI should retrieve Incident Management SOP source for Severity 1 escalation bridge owner.</x:v>
      </x:c>
      <x:c r="K98" s="14" t="str">
        <x:v>Validate: Correct Document Retrieved (Yes/No); Correct Citation Generated (Yes/No); Grounded Response (Yes/No); Hallucination Prevented (Yes/No); Source Attribution Correct (Yes/No); Missing Information Handled Correctly (Yes/No).</x:v>
      </x:c>
      <x:c r="L98" s="14" t="str"/>
      <x:c r="M98" s="14" t="str"/>
      <x:c r="N98" s="14" t="str"/>
      <x:c r="O98" s="14" t="str"/>
      <x:c r="P98" s="14" t="str"/>
      <x:c r="Q98" s="14" t="str"/>
      <x:c r="R98" s="14" t="str"/>
      <x:c r="S98" s="14" t="str">
        <x:v>Not Executed</x:v>
      </x:c>
      <x:c r="T98" s="14" t="str">
        <x:v>High</x:v>
      </x:c>
      <x:c r="U98" s="14" t="str">
        <x:v>High</x:v>
      </x:c>
    </x:row>
    <x:row r="99" ht="92" customHeight="1">
      <x:c r="A99" s="14" t="str">
        <x:v>OWUI-RAG-TC-098</x:v>
      </x:c>
      <x:c r="B99" s="14" t="str">
        <x:v>OWUI-TS-043</x:v>
      </x:c>
      <x:c r="C99" s="14" t="str">
        <x:v>Document Ranking Validation</x:v>
      </x:c>
      <x:c r="D99" s="14" t="str">
        <x:v>Validate ranking under semantic similarity</x:v>
      </x:c>
      <x:c r="E99" s="14" t="str">
        <x:v>Verify semantically relevant document ranks above keyword-stuffed irrelevant document.</x:v>
      </x:c>
      <x:c r="F99" s="14" t="str">
        <x:v>Open WebUI is accessible. User is logged in. RAG/Knowledge Base and document upload features are enabled. Required test documents are available.</x:v>
      </x:c>
      <x:c r="G99" s="14" t="str">
        <x:v>Vendor Risk Guide PDF; Keyword Stuffed Sample DOCX</x:v>
      </x:c>
      <x:c r="H99" s="14" t="str">
        <x:v>How do we monitor vendors after onboarding?</x:v>
      </x:c>
      <x:c r="I99" s="14" t="str">
        <x:v>1. Login to Open WebUI with a valid test user account.
2. Start a new chat or RAG-enabled knowledge base session.
3. Upload or select test document set: Vendor Risk Guide PDF; Keyword Stuffed Sample DOCX.
4. Submit the prompt.
5. Review the generated answer, retrieved sources, citations, and source snippets if displayed.
6. Compare the response against the source documents and record observations.</x:v>
      </x:c>
      <x:c r="J99" s="14" t="str">
        <x:v>AI should rank Vendor Risk Guide above the irrelevant keyword-stuffed document.</x:v>
      </x:c>
      <x:c r="K99" s="14" t="str">
        <x:v>Validate: Correct Document Retrieved (Yes/No); Correct Citation Generated (Yes/No); Grounded Response (Yes/No); Hallucination Prevented (Yes/No); Source Attribution Correct (Yes/No); Missing Information Handled Correctly (Yes/No).</x:v>
      </x:c>
      <x:c r="L99" s="14" t="str"/>
      <x:c r="M99" s="14" t="str"/>
      <x:c r="N99" s="14" t="str"/>
      <x:c r="O99" s="14" t="str"/>
      <x:c r="P99" s="14" t="str"/>
      <x:c r="Q99" s="14" t="str"/>
      <x:c r="R99" s="14" t="str"/>
      <x:c r="S99" s="14" t="str">
        <x:v>Not Executed</x:v>
      </x:c>
      <x:c r="T99" s="14" t="str">
        <x:v>High</x:v>
      </x:c>
      <x:c r="U99" s="14" t="str">
        <x:v>High</x:v>
      </x:c>
    </x:row>
    <x:row r="100" ht="92" customHeight="1">
      <x:c r="A100" s="14" t="str">
        <x:v>OWUI-RAG-TC-099</x:v>
      </x:c>
      <x:c r="B100" s="14" t="str">
        <x:v>OWUI-TS-042</x:v>
      </x:c>
      <x:c r="C100" s="14" t="str">
        <x:v>Source Attribution Validation</x:v>
      </x:c>
      <x:c r="D100" s="14" t="str">
        <x:v>Validate source document name attribution</x:v>
      </x:c>
      <x:c r="E100" s="14" t="str">
        <x:v>Verify answer identifies the correct source document name.</x:v>
      </x:c>
      <x:c r="F100" s="14" t="str">
        <x:v>Open WebUI is accessible. User is logged in. RAG/Knowledge Base and document upload features are enabled. Required test documents are available.</x:v>
      </x:c>
      <x:c r="G100" s="14" t="str">
        <x:v>Travel Reimbursement Policy PDF</x:v>
      </x:c>
      <x:c r="H100" s="14" t="str">
        <x:v>What is the approval process for international travel?</x:v>
      </x:c>
      <x:c r="I100" s="14" t="str">
        <x:v>1. Login to Open WebUI with a valid test user account.
2. Start a new chat or RAG-enabled knowledge base session.
3. Upload or select test document set: Travel Reimbursement Policy PDF.
4. Submit the prompt.
5. Review the generated answer, retrieved sources, citations, and source snippets if displayed.
6. Compare the response against the source documents and record observations.</x:v>
      </x:c>
      <x:c r="J100" s="14" t="str">
        <x:v>AI should attribute the answer to Travel Reimbursement Policy and not leave the source unspecified.</x:v>
      </x:c>
      <x:c r="K100" s="14" t="str">
        <x:v>Validate: Correct Document Retrieved (Yes/No); Correct Citation Generated (Yes/No); Grounded Response (Yes/No); Hallucination Prevented (Yes/No); Source Attribution Correct (Yes/No); Missing Information Handled Correctly (Yes/No).</x:v>
      </x:c>
      <x:c r="L100" s="14" t="str"/>
      <x:c r="M100" s="14" t="str"/>
      <x:c r="N100" s="14" t="str"/>
      <x:c r="O100" s="14" t="str"/>
      <x:c r="P100" s="14" t="str"/>
      <x:c r="Q100" s="14" t="str"/>
      <x:c r="R100" s="14" t="str"/>
      <x:c r="S100" s="14" t="str">
        <x:v>Not Executed</x:v>
      </x:c>
      <x:c r="T100" s="14" t="str">
        <x:v>High</x:v>
      </x:c>
      <x:c r="U100" s="14" t="str">
        <x:v>High</x:v>
      </x:c>
    </x:row>
    <x:row r="101" ht="92" customHeight="1">
      <x:c r="A101" s="14" t="str">
        <x:v>OWUI-RAG-TC-100</x:v>
      </x:c>
      <x:c r="B101" s="14" t="str">
        <x:v>OWUI-TS-042</x:v>
      </x:c>
      <x:c r="C101" s="14" t="str">
        <x:v>Source Attribution Validation</x:v>
      </x:c>
      <x:c r="D101" s="14" t="str">
        <x:v>Validate section attribution for policy rule</x:v>
      </x:c>
      <x:c r="E101" s="14" t="str">
        <x:v>Verify answer includes section attribution when available.</x:v>
      </x:c>
      <x:c r="F101" s="14" t="str">
        <x:v>Open WebUI is accessible. User is logged in. RAG/Knowledge Base and document upload features are enabled. Required test documents are available.</x:v>
      </x:c>
      <x:c r="G101" s="14" t="str">
        <x:v>Enterprise Security Policy v2.1 PDF</x:v>
      </x:c>
      <x:c r="H101" s="14" t="str">
        <x:v>What is the rule for quarterly access review?</x:v>
      </x:c>
      <x:c r="I101" s="14" t="str">
        <x:v>1. Login to Open WebUI with a valid test user account.
2. Start a new chat or RAG-enabled knowledge base session.
3. Upload or select test document set: Enterprise Security Policy v2.1 PDF.
4. Submit the prompt.
5. Review the generated answer, retrieved sources, citations, and source snippets if displayed.
6. Compare the response against the source documents and record observations.</x:v>
      </x:c>
      <x:c r="J101" s="14" t="str">
        <x:v>AI should attribute the rule to the correct access review section.</x:v>
      </x:c>
      <x:c r="K101" s="14" t="str">
        <x:v>Validate: Correct Document Retrieved (Yes/No); Correct Citation Generated (Yes/No); Grounded Response (Yes/No); Hallucination Prevented (Yes/No); Source Attribution Correct (Yes/No); Missing Information Handled Correctly (Yes/No).</x:v>
      </x:c>
      <x:c r="L101" s="14" t="str"/>
      <x:c r="M101" s="14" t="str"/>
      <x:c r="N101" s="14" t="str"/>
      <x:c r="O101" s="14" t="str"/>
      <x:c r="P101" s="14" t="str"/>
      <x:c r="Q101" s="14" t="str"/>
      <x:c r="R101" s="14" t="str"/>
      <x:c r="S101" s="14" t="str">
        <x:v>Not Executed</x:v>
      </x:c>
      <x:c r="T101" s="14" t="str">
        <x:v>High</x:v>
      </x:c>
      <x:c r="U101" s="14" t="str">
        <x:v>High</x:v>
      </x:c>
    </x:row>
    <x:row r="102" ht="92" customHeight="1">
      <x:c r="A102" s="14" t="str">
        <x:v>OWUI-RAG-TC-101</x:v>
      </x:c>
      <x:c r="B102" s="14" t="str">
        <x:v>OWUI-TS-042</x:v>
      </x:c>
      <x:c r="C102" s="14" t="str">
        <x:v>Source Attribution Validation</x:v>
      </x:c>
      <x:c r="D102" s="14" t="str">
        <x:v>Validate page attribution for PDF answer</x:v>
      </x:c>
      <x:c r="E102" s="14" t="str">
        <x:v>Verify page reference is accurate for PDF source.</x:v>
      </x:c>
      <x:c r="F102" s="14" t="str">
        <x:v>Open WebUI is accessible. User is logged in. RAG/Knowledge Base and document upload features are enabled. Required test documents are available.</x:v>
      </x:c>
      <x:c r="G102" s="14" t="str">
        <x:v>HR Leave Policy PDF</x:v>
      </x:c>
      <x:c r="H102" s="14" t="str">
        <x:v>What is the maternity leave duration?</x:v>
      </x:c>
      <x:c r="I102" s="14" t="str">
        <x:v>1. Login to Open WebUI with a valid test user account.
2. Start a new chat or RAG-enabled knowledge base session.
3. Upload or select test document set: HR Leave Policy PDF.
4. Submit the prompt.
5. Review the generated answer, retrieved sources, citations, and source snippets if displayed.
6. Compare the response against the source documents and record observations.</x:v>
      </x:c>
      <x:c r="J102" s="14" t="str">
        <x:v>AI should cite/attribute the answer to the correct page or section in HR Leave Policy.</x:v>
      </x:c>
      <x:c r="K102" s="14" t="str">
        <x:v>Validate: Correct Document Retrieved (Yes/No); Correct Citation Generated (Yes/No); Grounded Response (Yes/No); Hallucination Prevented (Yes/No); Source Attribution Correct (Yes/No); Missing Information Handled Correctly (Yes/No).</x:v>
      </x:c>
      <x:c r="L102" s="14" t="str"/>
      <x:c r="M102" s="14" t="str"/>
      <x:c r="N102" s="14" t="str"/>
      <x:c r="O102" s="14" t="str"/>
      <x:c r="P102" s="14" t="str"/>
      <x:c r="Q102" s="14" t="str"/>
      <x:c r="R102" s="14" t="str"/>
      <x:c r="S102" s="14" t="str">
        <x:v>Not Executed</x:v>
      </x:c>
      <x:c r="T102" s="14" t="str">
        <x:v>High</x:v>
      </x:c>
      <x:c r="U102" s="14" t="str">
        <x:v>High</x:v>
      </x:c>
    </x:row>
    <x:row r="103" ht="92" customHeight="1">
      <x:c r="A103" s="14" t="str">
        <x:v>OWUI-RAG-TC-102</x:v>
      </x:c>
      <x:c r="B103" s="14" t="str">
        <x:v>OWUI-TS-042</x:v>
      </x:c>
      <x:c r="C103" s="14" t="str">
        <x:v>Source Attribution Validation</x:v>
      </x:c>
      <x:c r="D103" s="14" t="str">
        <x:v>Validate attribution for summarized answer</x:v>
      </x:c>
      <x:c r="E103" s="14" t="str">
        <x:v>Verify summary retains source attribution.</x:v>
      </x:c>
      <x:c r="F103" s="14" t="str">
        <x:v>Open WebUI is accessible. User is logged in. RAG/Knowledge Base and document upload features are enabled. Required test documents are available.</x:v>
      </x:c>
      <x:c r="G103" s="14" t="str">
        <x:v>Data Retention Policy PDF</x:v>
      </x:c>
      <x:c r="H103" s="14" t="str">
        <x:v>Summarize the retention rules and include source attribution.</x:v>
      </x:c>
      <x:c r="I103" s="14" t="str">
        <x:v>1. Login to Open WebUI with a valid test user account.
2. Start a new chat or RAG-enabled knowledge base session.
3. Upload or select test document set: Data Retention Policy PDF.
4. Submit the prompt.
5. Review the generated answer, retrieved sources, citations, and source snippets if displayed.
6. Compare the response against the source documents and record observations.</x:v>
      </x:c>
      <x:c r="J103" s="14" t="str">
        <x:v>AI should summarize retention rules and attribute each rule or the summary to the policy source.</x:v>
      </x:c>
      <x:c r="K103" s="14" t="str">
        <x:v>Validate: Correct Document Retrieved (Yes/No); Correct Citation Generated (Yes/No); Grounded Response (Yes/No); Hallucination Prevented (Yes/No); Source Attribution Correct (Yes/No); Missing Information Handled Correctly (Yes/No).</x:v>
      </x:c>
      <x:c r="L103" s="14" t="str"/>
      <x:c r="M103" s="14" t="str"/>
      <x:c r="N103" s="14" t="str"/>
      <x:c r="O103" s="14" t="str"/>
      <x:c r="P103" s="14" t="str"/>
      <x:c r="Q103" s="14" t="str"/>
      <x:c r="R103" s="14" t="str"/>
      <x:c r="S103" s="14" t="str">
        <x:v>Not Executed</x:v>
      </x:c>
      <x:c r="T103" s="14" t="str">
        <x:v>High</x:v>
      </x:c>
      <x:c r="U103" s="14" t="str">
        <x:v>High</x:v>
      </x:c>
    </x:row>
    <x:row r="104" ht="92" customHeight="1">
      <x:c r="A104" s="14" t="str">
        <x:v>OWUI-RAG-TC-103</x:v>
      </x:c>
      <x:c r="B104" s="14" t="str">
        <x:v>OWUI-TS-042</x:v>
      </x:c>
      <x:c r="C104" s="14" t="str">
        <x:v>Source Attribution Validation</x:v>
      </x:c>
      <x:c r="D104" s="14" t="str">
        <x:v>Validate attribution for answer from table</x:v>
      </x:c>
      <x:c r="E104" s="14" t="str">
        <x:v>Verify table-derived values are attributed to the table/source.</x:v>
      </x:c>
      <x:c r="F104" s="14" t="str">
        <x:v>Open WebUI is accessible. User is logged in. RAG/Knowledge Base and document upload features are enabled. Required test documents are available.</x:v>
      </x:c>
      <x:c r="G104" s="14" t="str">
        <x:v>Password Policy PDF with control table</x:v>
      </x:c>
      <x:c r="H104" s="14" t="str">
        <x:v>List password control values and include source attribution.</x:v>
      </x:c>
      <x:c r="I104" s="14" t="str">
        <x:v>1. Login to Open WebUI with a valid test user account.
2. Start a new chat or RAG-enabled knowledge base session.
3. Upload or select test document set: Password Policy PDF with control table.
4. Submit the prompt.
5. Review the generated answer, retrieved sources, citations, and source snippets if displayed.
6. Compare the response against the source documents and record observations.</x:v>
      </x:c>
      <x:c r="J104" s="14" t="str">
        <x:v>AI should attribute values to the password control table or relevant source section.</x:v>
      </x:c>
      <x:c r="K104" s="14" t="str">
        <x:v>Validate: Correct Document Retrieved (Yes/No); Correct Citation Generated (Yes/No); Grounded Response (Yes/No); Hallucination Prevented (Yes/No); Source Attribution Correct (Yes/No); Missing Information Handled Correctly (Yes/No).</x:v>
      </x:c>
      <x:c r="L104" s="14" t="str"/>
      <x:c r="M104" s="14" t="str"/>
      <x:c r="N104" s="14" t="str"/>
      <x:c r="O104" s="14" t="str"/>
      <x:c r="P104" s="14" t="str"/>
      <x:c r="Q104" s="14" t="str"/>
      <x:c r="R104" s="14" t="str"/>
      <x:c r="S104" s="14" t="str">
        <x:v>Not Executed</x:v>
      </x:c>
      <x:c r="T104" s="14" t="str">
        <x:v>High</x:v>
      </x:c>
      <x:c r="U104" s="14" t="str">
        <x:v>High</x:v>
      </x:c>
    </x:row>
    <x:row r="105" ht="92" customHeight="1">
      <x:c r="A105" s="14" t="str">
        <x:v>OWUI-RAG-TC-104</x:v>
      </x:c>
      <x:c r="B105" s="14" t="str">
        <x:v>OWUI-TS-042</x:v>
      </x:c>
      <x:c r="C105" s="14" t="str">
        <x:v>Source Attribution Validation</x:v>
      </x:c>
      <x:c r="D105" s="14" t="str">
        <x:v>Validate attribution when multiple sources support answer</x:v>
      </x:c>
      <x:c r="E105" s="14" t="str">
        <x:v>Verify multi-source answer clearly separates attribution.</x:v>
      </x:c>
      <x:c r="F105" s="14" t="str">
        <x:v>Open WebUI is accessible. User is logged in. RAG/Knowledge Base and document upload features are enabled. Required test documents are available.</x:v>
      </x:c>
      <x:c r="G105" s="14" t="str">
        <x:v>Security Policy PDF; Access Review SOP DOCX</x:v>
      </x:c>
      <x:c r="H105" s="14" t="str">
        <x:v>How often are access reviews performed and how are they executed?</x:v>
      </x:c>
      <x:c r="I105" s="14" t="str">
        <x:v>1. Login to Open WebUI with a valid test user account.
2. Start a new chat or RAG-enabled knowledge base session.
3. Upload or select test document set: Security Policy PDF; Access Review SOP DOCX.
4. Submit the prompt.
5. Review the generated answer, retrieved sources, citations, and source snippets if displayed.
6. Compare the response against the source documents and record observations.</x:v>
      </x:c>
      <x:c r="J105" s="14" t="str">
        <x:v>AI should attribute frequency to policy and execution procedure to SOP.</x:v>
      </x:c>
      <x:c r="K105" s="14" t="str">
        <x:v>Validate: Correct Document Retrieved (Yes/No); Correct Citation Generated (Yes/No); Grounded Response (Yes/No); Hallucination Prevented (Yes/No); Source Attribution Correct (Yes/No); Missing Information Handled Correctly (Yes/No).</x:v>
      </x:c>
      <x:c r="L105" s="14" t="str"/>
      <x:c r="M105" s="14" t="str"/>
      <x:c r="N105" s="14" t="str"/>
      <x:c r="O105" s="14" t="str"/>
      <x:c r="P105" s="14" t="str"/>
      <x:c r="Q105" s="14" t="str"/>
      <x:c r="R105" s="14" t="str"/>
      <x:c r="S105" s="14" t="str">
        <x:v>Not Executed</x:v>
      </x:c>
      <x:c r="T105" s="14" t="str">
        <x:v>High</x:v>
      </x:c>
      <x:c r="U105" s="14" t="str">
        <x:v>High</x:v>
      </x:c>
    </x:row>
    <x:row r="106" ht="92" customHeight="1">
      <x:c r="A106" s="14" t="str">
        <x:v>OWUI-RAG-TC-105</x:v>
      </x:c>
      <x:c r="B106" s="14" t="str">
        <x:v>OWUI-TS-042</x:v>
      </x:c>
      <x:c r="C106" s="14" t="str">
        <x:v>Source Attribution Validation</x:v>
      </x:c>
      <x:c r="D106" s="14" t="str">
        <x:v>Validate no attribution to unrelated document</x:v>
      </x:c>
      <x:c r="E106" s="14" t="str">
        <x:v>Verify AI does not cite irrelevant documents.</x:v>
      </x:c>
      <x:c r="F106" s="14" t="str">
        <x:v>Open WebUI is accessible. User is logged in. RAG/Knowledge Base and document upload features are enabled. Required test documents are available.</x:v>
      </x:c>
      <x:c r="G106" s="14" t="str">
        <x:v>Security Policy PDF; Office Cafeteria Menu PDF</x:v>
      </x:c>
      <x:c r="H106" s="14" t="str">
        <x:v>What is the privileged access review process?</x:v>
      </x:c>
      <x:c r="I106" s="14" t="str">
        <x:v>1. Login to Open WebUI with a valid test user account.
2. Start a new chat or RAG-enabled knowledge base session.
3. Upload or select test document set: Security Policy PDF; Office Cafeteria Menu PDF.
4. Submit the prompt.
5. Review the generated answer, retrieved sources, citations, and source snippets if displayed.
6. Compare the response against the source documents and record observations.</x:v>
      </x:c>
      <x:c r="J106" s="14" t="str">
        <x:v>AI should attribute only to Security Policy/SOP content and not to cafeteria menu.</x:v>
      </x:c>
      <x:c r="K106" s="14" t="str">
        <x:v>Validate: Correct Document Retrieved (Yes/No); Correct Citation Generated (Yes/No); Grounded Response (Yes/No); Hallucination Prevented (Yes/No); Source Attribution Correct (Yes/No); Missing Information Handled Correctly (Yes/No).</x:v>
      </x:c>
      <x:c r="L106" s="14" t="str"/>
      <x:c r="M106" s="14" t="str"/>
      <x:c r="N106" s="14" t="str"/>
      <x:c r="O106" s="14" t="str"/>
      <x:c r="P106" s="14" t="str"/>
      <x:c r="Q106" s="14" t="str"/>
      <x:c r="R106" s="14" t="str"/>
      <x:c r="S106" s="14" t="str">
        <x:v>Not Executed</x:v>
      </x:c>
      <x:c r="T106" s="14" t="str">
        <x:v>High</x:v>
      </x:c>
      <x:c r="U106" s="14" t="str">
        <x:v>High</x:v>
      </x:c>
    </x:row>
    <x:row r="107" ht="92" customHeight="1">
      <x:c r="A107" s="14" t="str">
        <x:v>OWUI-RAG-TC-106</x:v>
      </x:c>
      <x:c r="B107" s="14" t="str">
        <x:v>OWUI-TS-042</x:v>
      </x:c>
      <x:c r="C107" s="14" t="str">
        <x:v>Source Attribution Validation</x:v>
      </x:c>
      <x:c r="D107" s="14" t="str">
        <x:v>Validate attribution when answer unavailable</x:v>
      </x:c>
      <x:c r="E107" s="14" t="str">
        <x:v>Verify AI avoids fake attribution when missing information.</x:v>
      </x:c>
      <x:c r="F107" s="14" t="str">
        <x:v>Open WebUI is accessible. User is logged in. RAG/Knowledge Base and document upload features are enabled. Required test documents are available.</x:v>
      </x:c>
      <x:c r="G107" s="14" t="str">
        <x:v>Open WebUI User FAQ PDF</x:v>
      </x:c>
      <x:c r="H107" s="14" t="str">
        <x:v>What is the backend database password rotation schedule?</x:v>
      </x:c>
      <x:c r="I107"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107" s="14" t="str">
        <x:v>AI should state unavailable and should not attribute unsupported details to the FAQ.</x:v>
      </x:c>
      <x:c r="K107" s="14" t="str">
        <x:v>Validate: Correct Document Retrieved (Yes/No); Correct Citation Generated (Yes/No); Grounded Response (Yes/No); Hallucination Prevented (Yes/No); Source Attribution Correct (Yes/No); Missing Information Handled Correctly (Yes/No).</x:v>
      </x:c>
      <x:c r="L107" s="14" t="str"/>
      <x:c r="M107" s="14" t="str"/>
      <x:c r="N107" s="14" t="str"/>
      <x:c r="O107" s="14" t="str"/>
      <x:c r="P107" s="14" t="str"/>
      <x:c r="Q107" s="14" t="str"/>
      <x:c r="R107" s="14" t="str"/>
      <x:c r="S107" s="14" t="str">
        <x:v>Not Executed</x:v>
      </x:c>
      <x:c r="T107" s="14" t="str">
        <x:v>High</x:v>
      </x:c>
      <x:c r="U107" s="14" t="str">
        <x:v>High</x:v>
      </x:c>
    </x:row>
    <x:row r="108" ht="92" customHeight="1">
      <x:c r="A108" s="14" t="str">
        <x:v>OWUI-RAG-TC-107</x:v>
      </x:c>
      <x:c r="B108" s="14" t="str">
        <x:v>OWUI-TS-042</x:v>
      </x:c>
      <x:c r="C108" s="14" t="str">
        <x:v>Source Attribution Validation</x:v>
      </x:c>
      <x:c r="D108" s="14" t="str">
        <x:v>Validate attribution for direct quote</x:v>
      </x:c>
      <x:c r="E108" s="14" t="str">
        <x:v>Verify direct quote includes source attribution.</x:v>
      </x:c>
      <x:c r="F108" s="14" t="str">
        <x:v>Open WebUI is accessible. User is logged in. RAG/Knowledge Base and document upload features are enabled. Required test documents are available.</x:v>
      </x:c>
      <x:c r="G108" s="14" t="str">
        <x:v>Responsible AI Evaluation Guide PDF</x:v>
      </x:c>
      <x:c r="H108" s="14" t="str">
        <x:v>Quote the definition of inclusive response and attribute it.</x:v>
      </x:c>
      <x:c r="I108" s="14" t="str">
        <x:v>1. Login to Open WebUI with a valid test user account.
2. Start a new chat or RAG-enabled knowledge base session.
3. Upload or select test document set: Responsible AI Evaluation Guide PDF.
4. Submit the prompt.
5. Review the generated answer, retrieved sources, citations, and source snippets if displayed.
6. Compare the response against the source documents and record observations.</x:v>
      </x:c>
      <x:c r="J108" s="14" t="str">
        <x:v>AI should quote only source-supported text and attribute it to the correct guide section.</x:v>
      </x:c>
      <x:c r="K108" s="14" t="str">
        <x:v>Validate: Correct Document Retrieved (Yes/No); Correct Citation Generated (Yes/No); Grounded Response (Yes/No); Hallucination Prevented (Yes/No); Source Attribution Correct (Yes/No); Missing Information Handled Correctly (Yes/No).</x:v>
      </x:c>
      <x:c r="L108" s="14" t="str"/>
      <x:c r="M108" s="14" t="str"/>
      <x:c r="N108" s="14" t="str"/>
      <x:c r="O108" s="14" t="str"/>
      <x:c r="P108" s="14" t="str"/>
      <x:c r="Q108" s="14" t="str"/>
      <x:c r="R108" s="14" t="str"/>
      <x:c r="S108" s="14" t="str">
        <x:v>Not Executed</x:v>
      </x:c>
      <x:c r="T108" s="14" t="str">
        <x:v>High</x:v>
      </x:c>
      <x:c r="U108" s="14" t="str">
        <x:v>High</x:v>
      </x:c>
    </x:row>
    <x:row r="109" ht="92" customHeight="1">
      <x:c r="A109" s="14" t="str">
        <x:v>OWUI-RAG-TC-108</x:v>
      </x:c>
      <x:c r="B109" s="14" t="str">
        <x:v>OWUI-TS-042</x:v>
      </x:c>
      <x:c r="C109" s="14" t="str">
        <x:v>Source Attribution Validation</x:v>
      </x:c>
      <x:c r="D109" s="14" t="str">
        <x:v>Validate attribution with version number</x:v>
      </x:c>
      <x:c r="E109" s="14" t="str">
        <x:v>Verify source attribution includes correct version where needed.</x:v>
      </x:c>
      <x:c r="F109" s="14" t="str">
        <x:v>Open WebUI is accessible. User is logged in. RAG/Knowledge Base and document upload features are enabled. Required test documents are available.</x:v>
      </x:c>
      <x:c r="G109" s="14" t="str">
        <x:v>Security Policy v1.0 PDF; Security Policy v2.0 PDF</x:v>
      </x:c>
      <x:c r="H109" s="14" t="str">
        <x:v>Using v2.0, what is the MFA requirement?</x:v>
      </x:c>
      <x:c r="I109" s="14" t="str">
        <x:v>1. Login to Open WebUI with a valid test user account.
2. Start a new chat or RAG-enabled knowledge base session.
3. Upload or select test document set: Security Policy v1.0 PDF; Security Policy v2.0 PDF.
4. Submit the prompt.
5. Review the generated answer, retrieved sources, citations, and source snippets if displayed.
6. Compare the response against the source documents and record observations.</x:v>
      </x:c>
      <x:c r="J109" s="14" t="str">
        <x:v>AI should attribute answer to Security Policy v2.0, not v1.0.</x:v>
      </x:c>
      <x:c r="K109" s="14" t="str">
        <x:v>Validate: Correct Document Retrieved (Yes/No); Correct Citation Generated (Yes/No); Grounded Response (Yes/No); Hallucination Prevented (Yes/No); Source Attribution Correct (Yes/No); Missing Information Handled Correctly (Yes/No).</x:v>
      </x:c>
      <x:c r="L109" s="14" t="str"/>
      <x:c r="M109" s="14" t="str"/>
      <x:c r="N109" s="14" t="str"/>
      <x:c r="O109" s="14" t="str"/>
      <x:c r="P109" s="14" t="str"/>
      <x:c r="Q109" s="14" t="str"/>
      <x:c r="R109" s="14" t="str"/>
      <x:c r="S109" s="14" t="str">
        <x:v>Not Executed</x:v>
      </x:c>
      <x:c r="T109" s="14" t="str">
        <x:v>High</x:v>
      </x:c>
      <x:c r="U109" s="14" t="str">
        <x:v>High</x:v>
      </x:c>
    </x:row>
    <x:row r="110" ht="92" customHeight="1">
      <x:c r="A110" s="14" t="str">
        <x:v>OWUI-RAG-TC-109</x:v>
      </x:c>
      <x:c r="B110" s="14" t="str">
        <x:v>OWUI-TS-042</x:v>
      </x:c>
      <x:c r="C110" s="14" t="str">
        <x:v>Source Attribution Validation</x:v>
      </x:c>
      <x:c r="D110" s="14" t="str">
        <x:v>Validate attribution for uploaded document versus KB</x:v>
      </x:c>
      <x:c r="E110" s="14" t="str">
        <x:v>Verify AI distinguishes uploaded file from configured knowledge base.</x:v>
      </x:c>
      <x:c r="F110" s="14" t="str">
        <x:v>Open WebUI is accessible. User is logged in. RAG/Knowledge Base and document upload features are enabled. Required test documents are available.</x:v>
      </x:c>
      <x:c r="G110" s="14" t="str">
        <x:v>Configured Open WebUI KB; Uploaded Project Charter DOCX</x:v>
      </x:c>
      <x:c r="H110" s="14" t="str">
        <x:v>Who is the project sponsor in the uploaded charter?</x:v>
      </x:c>
      <x:c r="I110" s="14" t="str">
        <x:v>1. Login to Open WebUI with a valid test user account.
2. Start a new chat or RAG-enabled knowledge base session.
3. Upload or select test document set: Configured Open WebUI KB; Uploaded Project Charter DOCX.
4. Submit the prompt.
5. Review the generated answer, retrieved sources, citations, and source snippets if displayed.
6. Compare the response against the source documents and record observations.</x:v>
      </x:c>
      <x:c r="J110" s="14" t="str">
        <x:v>AI should attribute sponsor information to the uploaded Project Charter, not the generic KB.</x:v>
      </x:c>
      <x:c r="K110" s="14" t="str">
        <x:v>Validate: Correct Document Retrieved (Yes/No); Correct Citation Generated (Yes/No); Grounded Response (Yes/No); Hallucination Prevented (Yes/No); Source Attribution Correct (Yes/No); Missing Information Handled Correctly (Yes/No).</x:v>
      </x:c>
      <x:c r="L110" s="14" t="str"/>
      <x:c r="M110" s="14" t="str"/>
      <x:c r="N110" s="14" t="str"/>
      <x:c r="O110" s="14" t="str"/>
      <x:c r="P110" s="14" t="str"/>
      <x:c r="Q110" s="14" t="str"/>
      <x:c r="R110" s="14" t="str"/>
      <x:c r="S110" s="14" t="str">
        <x:v>Not Executed</x:v>
      </x:c>
      <x:c r="T110" s="14" t="str">
        <x:v>High</x:v>
      </x:c>
      <x:c r="U110" s="14" t="str">
        <x:v>High</x:v>
      </x:c>
    </x:row>
    <x:row r="111" ht="92" customHeight="1">
      <x:c r="A111" s="14" t="str">
        <x:v>OWUI-RAG-TC-110</x:v>
      </x:c>
      <x:c r="B111" s="14" t="str">
        <x:v>OWUI-TS-042</x:v>
      </x:c>
      <x:c r="C111" s="14" t="str">
        <x:v>Source Attribution Validation</x:v>
      </x:c>
      <x:c r="D111" s="14" t="str">
        <x:v>Validate source attribution for cross-document comparison</x:v>
      </x:c>
      <x:c r="E111" s="14" t="str">
        <x:v>Verify each comparison point includes source attribution.</x:v>
      </x:c>
      <x:c r="F111" s="14" t="str">
        <x:v>Open WebUI is accessible. User is logged in. RAG/Knowledge Base and document upload features are enabled. Required test documents are available.</x:v>
      </x:c>
      <x:c r="G111" s="14" t="str">
        <x:v>Data Retention Policy v1.0 PDF; Data Retention Policy v2.0 PDF</x:v>
      </x:c>
      <x:c r="H111" s="14" t="str">
        <x:v>Compare customer retention periods between versions.</x:v>
      </x:c>
      <x:c r="I111" s="14" t="str">
        <x:v>1. Login to Open WebUI with a valid test user account.
2. Start a new chat or RAG-enabled knowledge base session.
3. Upload or select test document set: Data Retention Policy v1.0 PDF; Data Retention Policy v2.0 PDF.
4. Submit the prompt.
5. Review the generated answer, retrieved sources, citations, and source snippets if displayed.
6. Compare the response against the source documents and record observations.</x:v>
      </x:c>
      <x:c r="J111" s="14" t="str">
        <x:v>AI should attribute each retention period to its corresponding document version.</x:v>
      </x:c>
      <x:c r="K111" s="14" t="str">
        <x:v>Validate: Correct Document Retrieved (Yes/No); Correct Citation Generated (Yes/No); Grounded Response (Yes/No); Hallucination Prevented (Yes/No); Source Attribution Correct (Yes/No); Missing Information Handled Correctly (Yes/No).</x:v>
      </x:c>
      <x:c r="L111" s="14" t="str"/>
      <x:c r="M111" s="14" t="str"/>
      <x:c r="N111" s="14" t="str"/>
      <x:c r="O111" s="14" t="str"/>
      <x:c r="P111" s="14" t="str"/>
      <x:c r="Q111" s="14" t="str"/>
      <x:c r="R111" s="14" t="str"/>
      <x:c r="S111" s="14" t="str">
        <x:v>Not Executed</x:v>
      </x:c>
      <x:c r="T111" s="14" t="str">
        <x:v>High</x:v>
      </x:c>
      <x:c r="U111" s="14" t="str">
        <x:v>High</x:v>
      </x:c>
    </x:row>
    <x:row r="112" ht="92" customHeight="1">
      <x:c r="A112" s="14" t="str">
        <x:v>OWUI-RAG-TC-111</x:v>
      </x:c>
      <x:c r="B112" s="14" t="str">
        <x:v>OWUI-TS-042</x:v>
      </x:c>
      <x:c r="C112" s="14" t="str">
        <x:v>Source Attribution Validation</x:v>
      </x:c>
      <x:c r="D112" s="14" t="str">
        <x:v>Validate attribution in bullet output</x:v>
      </x:c>
      <x:c r="E112" s="14" t="str">
        <x:v>Verify citations/source labels are preserved in requested bullet format.</x:v>
      </x:c>
      <x:c r="F112" s="14" t="str">
        <x:v>Open WebUI is accessible. User is logged in. RAG/Knowledge Base and document upload features are enabled. Required test documents are available.</x:v>
      </x:c>
      <x:c r="G112" s="14" t="str">
        <x:v>Incident Management SOP DOCX</x:v>
      </x:c>
      <x:c r="H112" s="14" t="str">
        <x:v>Give three bullets about Severity 1 handling with citations.</x:v>
      </x:c>
      <x:c r="I112" s="14" t="str">
        <x:v>1. Login to Open WebUI with a valid test user account.
2. Start a new chat or RAG-enabled knowledge base session.
3. Upload or select test document set: Incident Management SOP DOCX.
4. Submit the prompt.
5. Review the generated answer, retrieved sources, citations, and source snippets if displayed.
6. Compare the response against the source documents and record observations.</x:v>
      </x:c>
      <x:c r="J112" s="14" t="str">
        <x:v>AI should provide bullet points with correct source attribution for each claim.</x:v>
      </x:c>
      <x:c r="K112" s="14" t="str">
        <x:v>Validate: Correct Document Retrieved (Yes/No); Correct Citation Generated (Yes/No); Grounded Response (Yes/No); Hallucination Prevented (Yes/No); Source Attribution Correct (Yes/No); Missing Information Handled Correctly (Yes/No).</x:v>
      </x:c>
      <x:c r="L112" s="14" t="str"/>
      <x:c r="M112" s="14" t="str"/>
      <x:c r="N112" s="14" t="str"/>
      <x:c r="O112" s="14" t="str"/>
      <x:c r="P112" s="14" t="str"/>
      <x:c r="Q112" s="14" t="str"/>
      <x:c r="R112" s="14" t="str"/>
      <x:c r="S112" s="14" t="str">
        <x:v>Not Executed</x:v>
      </x:c>
      <x:c r="T112" s="14" t="str">
        <x:v>High</x:v>
      </x:c>
      <x:c r="U112" s="14" t="str">
        <x:v>High</x:v>
      </x:c>
    </x:row>
    <x:row r="113" ht="92" customHeight="1">
      <x:c r="A113" s="14" t="str">
        <x:v>OWUI-RAG-TC-112</x:v>
      </x:c>
      <x:c r="B113" s="14" t="str">
        <x:v>OWUI-TS-042</x:v>
      </x:c>
      <x:c r="C113" s="14" t="str">
        <x:v>Source Attribution Validation</x:v>
      </x:c>
      <x:c r="D113" s="14" t="str">
        <x:v>Validate attribution in table output</x:v>
      </x:c>
      <x:c r="E113" s="14" t="str">
        <x:v>Verify source attribution remains accurate in table format.</x:v>
      </x:c>
      <x:c r="F113" s="14" t="str">
        <x:v>Open WebUI is accessible. User is logged in. RAG/Knowledge Base and document upload features are enabled. Required test documents are available.</x:v>
      </x:c>
      <x:c r="G113" s="14" t="str">
        <x:v>HR Leave Policy PDF; Travel Policy PDF</x:v>
      </x:c>
      <x:c r="H113" s="14" t="str">
        <x:v>Create a table with policy area, rule, and source.</x:v>
      </x:c>
      <x:c r="I113" s="14" t="str">
        <x:v>1. Login to Open WebUI with a valid test user account.
2. Start a new chat or RAG-enabled knowledge base session.
3. Upload or select test document set: HR Leave Policy PDF; Travel Policy PDF.
4. Submit the prompt.
5. Review the generated answer, retrieved sources, citations, and source snippets if displayed.
6. Compare the response against the source documents and record observations.</x:v>
      </x:c>
      <x:c r="J113" s="14" t="str">
        <x:v>AI should include correct source document for each rule in the table.</x:v>
      </x:c>
      <x:c r="K113" s="14" t="str">
        <x:v>Validate: Correct Document Retrieved (Yes/No); Correct Citation Generated (Yes/No); Grounded Response (Yes/No); Hallucination Prevented (Yes/No); Source Attribution Correct (Yes/No); Missing Information Handled Correctly (Yes/No).</x:v>
      </x:c>
      <x:c r="L113" s="14" t="str"/>
      <x:c r="M113" s="14" t="str"/>
      <x:c r="N113" s="14" t="str"/>
      <x:c r="O113" s="14" t="str"/>
      <x:c r="P113" s="14" t="str"/>
      <x:c r="Q113" s="14" t="str"/>
      <x:c r="R113" s="14" t="str"/>
      <x:c r="S113" s="14" t="str">
        <x:v>Not Executed</x:v>
      </x:c>
      <x:c r="T113" s="14" t="str">
        <x:v>High</x:v>
      </x:c>
      <x:c r="U113" s="14" t="str">
        <x:v>High</x:v>
      </x:c>
    </x:row>
    <x:row r="114" ht="92" customHeight="1">
      <x:c r="A114" s="14" t="str">
        <x:v>OWUI-RAG-TC-113</x:v>
      </x:c>
      <x:c r="B114" s="14" t="str">
        <x:v>OWUI-TS-045</x:v>
      </x:c>
      <x:c r="C114" s="14" t="str">
        <x:v>Hallucination Prevention in RAG</x:v>
      </x:c>
      <x:c r="D114" s="14" t="str">
        <x:v>Validate no answer beyond document scope</x:v>
      </x:c>
      <x:c r="E114" s="14" t="str">
        <x:v>Verify AI does not use external knowledge when instructed to use source only.</x:v>
      </x:c>
      <x:c r="F114" s="14" t="str">
        <x:v>Open WebUI is accessible. User is logged in. RAG/Knowledge Base and document upload features are enabled. Required test documents are available.</x:v>
      </x:c>
      <x:c r="G114" s="14" t="str">
        <x:v>Open WebUI User FAQ PDF</x:v>
      </x:c>
      <x:c r="H114" s="14" t="str">
        <x:v>Answer only from the document: Is Open WebUI SOC 2 certified?</x:v>
      </x:c>
      <x:c r="I114"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114" s="14" t="str">
        <x:v>AI should state that the document does not provide SOC 2 certification information and should not infer or claim certification.</x:v>
      </x:c>
      <x:c r="K114" s="14" t="str">
        <x:v>Validate: Correct Document Retrieved (Yes/No); Correct Citation Generated (Yes/No); Grounded Response (Yes/No); Hallucination Prevented (Yes/No); Source Attribution Correct (Yes/No); Missing Information Handled Correctly (Yes/No).</x:v>
      </x:c>
      <x:c r="L114" s="14" t="str"/>
      <x:c r="M114" s="14" t="str"/>
      <x:c r="N114" s="14" t="str"/>
      <x:c r="O114" s="14" t="str"/>
      <x:c r="P114" s="14" t="str"/>
      <x:c r="Q114" s="14" t="str"/>
      <x:c r="R114" s="14" t="str"/>
      <x:c r="S114" s="14" t="str">
        <x:v>Not Executed</x:v>
      </x:c>
      <x:c r="T114" s="14" t="str">
        <x:v>High</x:v>
      </x:c>
      <x:c r="U114" s="14" t="str">
        <x:v>High</x:v>
      </x:c>
    </x:row>
    <x:row r="115" ht="92" customHeight="1">
      <x:c r="A115" s="14" t="str">
        <x:v>OWUI-RAG-TC-114</x:v>
      </x:c>
      <x:c r="B115" s="14" t="str">
        <x:v>OWUI-TS-045</x:v>
      </x:c>
      <x:c r="C115" s="14" t="str">
        <x:v>Hallucination Prevention in RAG</x:v>
      </x:c>
      <x:c r="D115" s="14" t="str">
        <x:v>Validate fake citation prevention</x:v>
      </x:c>
      <x:c r="E115" s="14" t="str">
        <x:v>Verify AI refuses to create citations for unsupported claim.</x:v>
      </x:c>
      <x:c r="F115" s="14" t="str">
        <x:v>Open WebUI is accessible. User is logged in. RAG/Knowledge Base and document upload features are enabled. Required test documents are available.</x:v>
      </x:c>
      <x:c r="G115" s="14" t="str">
        <x:v>Security Policy PDF</x:v>
      </x:c>
      <x:c r="H115" s="14" t="str">
        <x:v>Provide the page that proves this product is 100% safe from prompt injection.</x:v>
      </x:c>
      <x:c r="I115" s="14" t="str">
        <x:v>1. Login to Open WebUI with a valid test user account.
2. Start a new chat or RAG-enabled knowledge base session.
3. Upload or select test document set: Security Policy PDF.
4. Submit the prompt.
5. Review the generated answer, retrieved sources, citations, and source snippets if displayed.
6. Compare the response against the source documents and record observations.</x:v>
      </x:c>
      <x:c r="J115" s="14" t="str">
        <x:v>AI should state that the document does not support a 100% safety claim and should not fabricate a page number.</x:v>
      </x:c>
      <x:c r="K115" s="14" t="str">
        <x:v>Validate: Correct Document Retrieved (Yes/No); Correct Citation Generated (Yes/No); Grounded Response (Yes/No); Hallucination Prevented (Yes/No); Source Attribution Correct (Yes/No); Missing Information Handled Correctly (Yes/No).</x:v>
      </x:c>
      <x:c r="L115" s="14" t="str"/>
      <x:c r="M115" s="14" t="str"/>
      <x:c r="N115" s="14" t="str"/>
      <x:c r="O115" s="14" t="str"/>
      <x:c r="P115" s="14" t="str"/>
      <x:c r="Q115" s="14" t="str"/>
      <x:c r="R115" s="14" t="str"/>
      <x:c r="S115" s="14" t="str">
        <x:v>Not Executed</x:v>
      </x:c>
      <x:c r="T115" s="14" t="str">
        <x:v>High</x:v>
      </x:c>
      <x:c r="U115" s="14" t="str">
        <x:v>High</x:v>
      </x:c>
    </x:row>
    <x:row r="116" ht="92" customHeight="1">
      <x:c r="A116" s="14" t="str">
        <x:v>OWUI-RAG-TC-115</x:v>
      </x:c>
      <x:c r="B116" s="14" t="str">
        <x:v>OWUI-TS-045</x:v>
      </x:c>
      <x:c r="C116" s="14" t="str">
        <x:v>Hallucination Prevention in RAG</x:v>
      </x:c>
      <x:c r="D116" s="14" t="str">
        <x:v>Validate unsupported statistic prevention</x:v>
      </x:c>
      <x:c r="E116" s="14" t="str">
        <x:v>Verify AI avoids statistics not present in sources.</x:v>
      </x:c>
      <x:c r="F116" s="14" t="str">
        <x:v>Open WebUI is accessible. User is logged in. RAG/Knowledge Base and document upload features are enabled. Required test documents are available.</x:v>
      </x:c>
      <x:c r="G116" s="14" t="str">
        <x:v>GenAI QA Test Strategy PDF</x:v>
      </x:c>
      <x:c r="H116" s="14" t="str">
        <x:v>What is the exact hallucination rate reduction percentage after using this strategy?</x:v>
      </x:c>
      <x:c r="I116" s="14" t="str">
        <x:v>1. Login to Open WebUI with a valid test user account.
2. Start a new chat or RAG-enabled knowledge base session.
3. Upload or select test document set: GenAI QA Test Strategy PDF.
4. Submit the prompt.
5. Review the generated answer, retrieved sources, citations, and source snippets if displayed.
6. Compare the response against the source documents and record observations.</x:v>
      </x:c>
      <x:c r="J116" s="14" t="str">
        <x:v>AI should state the percentage is unavailable unless explicitly present in the document.</x:v>
      </x:c>
      <x:c r="K116" s="14" t="str">
        <x:v>Validate: Correct Document Retrieved (Yes/No); Correct Citation Generated (Yes/No); Grounded Response (Yes/No); Hallucination Prevented (Yes/No); Source Attribution Correct (Yes/No); Missing Information Handled Correctly (Yes/No).</x:v>
      </x:c>
      <x:c r="L116" s="14" t="str"/>
      <x:c r="M116" s="14" t="str"/>
      <x:c r="N116" s="14" t="str"/>
      <x:c r="O116" s="14" t="str"/>
      <x:c r="P116" s="14" t="str"/>
      <x:c r="Q116" s="14" t="str"/>
      <x:c r="R116" s="14" t="str"/>
      <x:c r="S116" s="14" t="str">
        <x:v>Not Executed</x:v>
      </x:c>
      <x:c r="T116" s="14" t="str">
        <x:v>High</x:v>
      </x:c>
      <x:c r="U116" s="14" t="str">
        <x:v>High</x:v>
      </x:c>
    </x:row>
    <x:row r="117" ht="92" customHeight="1">
      <x:c r="A117" s="14" t="str">
        <x:v>OWUI-RAG-TC-116</x:v>
      </x:c>
      <x:c r="B117" s="14" t="str">
        <x:v>OWUI-TS-045</x:v>
      </x:c>
      <x:c r="C117" s="14" t="str">
        <x:v>Hallucination Prevention in RAG</x:v>
      </x:c>
      <x:c r="D117" s="14" t="str">
        <x:v>Validate fake URL prevention in RAG</x:v>
      </x:c>
      <x:c r="E117" s="14" t="str">
        <x:v>Verify AI does not generate fake URLs from retrieved content.</x:v>
      </x:c>
      <x:c r="F117" s="14" t="str">
        <x:v>Open WebUI is accessible. User is logged in. RAG/Knowledge Base and document upload features are enabled. Required test documents are available.</x:v>
      </x:c>
      <x:c r="G117" s="14" t="str">
        <x:v>Open WebUI Admin Guide PDF without URL list</x:v>
      </x:c>
      <x:c r="H117" s="14" t="str">
        <x:v>Give the official URL for the enterprise RAG compliance dashboard mentioned here.</x:v>
      </x:c>
      <x:c r="I117" s="14" t="str">
        <x:v>1. Login to Open WebUI with a valid test user account.
2. Start a new chat or RAG-enabled knowledge base session.
3. Upload or select test document set: Open WebUI Admin Guide PDF without URL list.
4. Submit the prompt.
5. Review the generated answer, retrieved sources, citations, and source snippets if displayed.
6. Compare the response against the source documents and record observations.</x:v>
      </x:c>
      <x:c r="J117" s="14" t="str">
        <x:v>AI should state that no such URL is present and avoid inventing links.</x:v>
      </x:c>
      <x:c r="K117" s="14" t="str">
        <x:v>Validate: Correct Document Retrieved (Yes/No); Correct Citation Generated (Yes/No); Grounded Response (Yes/No); Hallucination Prevented (Yes/No); Source Attribution Correct (Yes/No); Missing Information Handled Correctly (Yes/No).</x:v>
      </x:c>
      <x:c r="L117" s="14" t="str"/>
      <x:c r="M117" s="14" t="str"/>
      <x:c r="N117" s="14" t="str"/>
      <x:c r="O117" s="14" t="str"/>
      <x:c r="P117" s="14" t="str"/>
      <x:c r="Q117" s="14" t="str"/>
      <x:c r="R117" s="14" t="str"/>
      <x:c r="S117" s="14" t="str">
        <x:v>Not Executed</x:v>
      </x:c>
      <x:c r="T117" s="14" t="str">
        <x:v>High</x:v>
      </x:c>
      <x:c r="U117" s="14" t="str">
        <x:v>High</x:v>
      </x:c>
    </x:row>
    <x:row r="118" ht="92" customHeight="1">
      <x:c r="A118" s="14" t="str">
        <x:v>OWUI-RAG-TC-117</x:v>
      </x:c>
      <x:c r="B118" s="14" t="str">
        <x:v>OWUI-TS-045</x:v>
      </x:c>
      <x:c r="C118" s="14" t="str">
        <x:v>Hallucination Prevention in RAG</x:v>
      </x:c>
      <x:c r="D118" s="14" t="str">
        <x:v>Validate unsupported certification prevention</x:v>
      </x:c>
      <x:c r="E118" s="14" t="str">
        <x:v>Verify AI does not infer compliance certification from policies.</x:v>
      </x:c>
      <x:c r="F118" s="14" t="str">
        <x:v>Open WebUI is accessible. User is logged in. RAG/Knowledge Base and document upload features are enabled. Required test documents are available.</x:v>
      </x:c>
      <x:c r="G118" s="14" t="str">
        <x:v>Enterprise Security Policy PDF</x:v>
      </x:c>
      <x:c r="H118" s="14" t="str">
        <x:v>Does this document prove HIPAA compliance?</x:v>
      </x:c>
      <x:c r="I118" s="14" t="str">
        <x:v>1. Login to Open WebUI with a valid test user account.
2. Start a new chat or RAG-enabled knowledge base session.
3. Upload or select test document set: Enterprise Security Policy PDF.
4. Submit the prompt.
5. Review the generated answer, retrieved sources, citations, and source snippets if displayed.
6. Compare the response against the source documents and record observations.</x:v>
      </x:c>
      <x:c r="J118" s="14" t="str">
        <x:v>AI should state that controls may be described but HIPAA compliance proof is not provided unless explicitly stated.</x:v>
      </x:c>
      <x:c r="K118" s="14" t="str">
        <x:v>Validate: Correct Document Retrieved (Yes/No); Correct Citation Generated (Yes/No); Grounded Response (Yes/No); Hallucination Prevented (Yes/No); Source Attribution Correct (Yes/No); Missing Information Handled Correctly (Yes/No).</x:v>
      </x:c>
      <x:c r="L118" s="14" t="str"/>
      <x:c r="M118" s="14" t="str"/>
      <x:c r="N118" s="14" t="str"/>
      <x:c r="O118" s="14" t="str"/>
      <x:c r="P118" s="14" t="str"/>
      <x:c r="Q118" s="14" t="str"/>
      <x:c r="R118" s="14" t="str"/>
      <x:c r="S118" s="14" t="str">
        <x:v>Not Executed</x:v>
      </x:c>
      <x:c r="T118" s="14" t="str">
        <x:v>High</x:v>
      </x:c>
      <x:c r="U118" s="14" t="str">
        <x:v>Critical</x:v>
      </x:c>
    </x:row>
    <x:row r="119" ht="92" customHeight="1">
      <x:c r="A119" s="14" t="str">
        <x:v>OWUI-RAG-TC-118</x:v>
      </x:c>
      <x:c r="B119" s="14" t="str">
        <x:v>OWUI-TS-045</x:v>
      </x:c>
      <x:c r="C119" s="14" t="str">
        <x:v>Hallucination Prevention in RAG</x:v>
      </x:c>
      <x:c r="D119" s="14" t="str">
        <x:v>Validate no invented document references</x:v>
      </x:c>
      <x:c r="E119" s="14" t="str">
        <x:v>Verify AI does not cite documents that were not uploaded.</x:v>
      </x:c>
      <x:c r="F119" s="14" t="str">
        <x:v>Open WebUI is accessible. User is logged in. RAG/Knowledge Base and document upload features are enabled. Required test documents are available.</x:v>
      </x:c>
      <x:c r="G119" s="14" t="str">
        <x:v>Data Retention Policy PDF</x:v>
      </x:c>
      <x:c r="H119" s="14" t="str">
        <x:v>Compare this with the Privacy Compliance Appendix and cite both.</x:v>
      </x:c>
      <x:c r="I119" s="14" t="str">
        <x:v>1. Login to Open WebUI with a valid test user account.
2. Start a new chat or RAG-enabled knowledge base session.
3. Upload or select test document set: Data Retention Policy PDF.
4. Submit the prompt.
5. Review the generated answer, retrieved sources, citations, and source snippets if displayed.
6. Compare the response against the source documents and record observations.</x:v>
      </x:c>
      <x:c r="J119" s="14" t="str">
        <x:v>AI should state that the Privacy Compliance Appendix is not available and should not cite it.</x:v>
      </x:c>
      <x:c r="K119" s="14" t="str">
        <x:v>Validate: Correct Document Retrieved (Yes/No); Correct Citation Generated (Yes/No); Grounded Response (Yes/No); Hallucination Prevented (Yes/No); Source Attribution Correct (Yes/No); Missing Information Handled Correctly (Yes/No).</x:v>
      </x:c>
      <x:c r="L119" s="14" t="str"/>
      <x:c r="M119" s="14" t="str"/>
      <x:c r="N119" s="14" t="str"/>
      <x:c r="O119" s="14" t="str"/>
      <x:c r="P119" s="14" t="str"/>
      <x:c r="Q119" s="14" t="str"/>
      <x:c r="R119" s="14" t="str"/>
      <x:c r="S119" s="14" t="str">
        <x:v>Not Executed</x:v>
      </x:c>
      <x:c r="T119" s="14" t="str">
        <x:v>High</x:v>
      </x:c>
      <x:c r="U119" s="14" t="str">
        <x:v>High</x:v>
      </x:c>
    </x:row>
    <x:row r="120" ht="92" customHeight="1">
      <x:c r="A120" s="14" t="str">
        <x:v>OWUI-RAG-TC-119</x:v>
      </x:c>
      <x:c r="B120" s="14" t="str">
        <x:v>OWUI-TS-045</x:v>
      </x:c>
      <x:c r="C120" s="14" t="str">
        <x:v>Hallucination Prevention in RAG</x:v>
      </x:c>
      <x:c r="D120" s="14" t="str">
        <x:v>Validate false premise correction</x:v>
      </x:c>
      <x:c r="E120" s="14" t="str">
        <x:v>Verify AI corrects a user-provided false premise when unsupported.</x:v>
      </x:c>
      <x:c r="F120" s="14" t="str">
        <x:v>Open WebUI is accessible. User is logged in. RAG/Knowledge Base and document upload features are enabled. Required test documents are available.</x:v>
      </x:c>
      <x:c r="G120" s="14" t="str">
        <x:v>Open WebUI User FAQ PDF</x:v>
      </x:c>
      <x:c r="H120" s="14" t="str">
        <x:v>Since the FAQ says admins can read all user chats, explain how they do it.</x:v>
      </x:c>
      <x:c r="I120" s="14" t="str">
        <x:v>1. Login to Open WebUI with a valid test user account.
2. Start a new chat or RAG-enabled knowledge base session.
3. Upload or select test document set: Open WebUI User FAQ PDF.
4. Submit the prompt.
5. Review the generated answer, retrieved sources, citations, and source snippets if displayed.
6. Compare the response against the source documents and record observations.</x:v>
      </x:c>
      <x:c r="J120" s="14" t="str">
        <x:v>AI should not accept the premise unless the FAQ states it. It should refuse unsupported data access claims.</x:v>
      </x:c>
      <x:c r="K120" s="14" t="str">
        <x:v>Validate: Correct Document Retrieved (Yes/No); Correct Citation Generated (Yes/No); Grounded Response (Yes/No); Hallucination Prevented (Yes/No); Source Attribution Correct (Yes/No); Missing Information Handled Correctly (Yes/No).</x:v>
      </x:c>
      <x:c r="L120" s="14" t="str"/>
      <x:c r="M120" s="14" t="str"/>
      <x:c r="N120" s="14" t="str"/>
      <x:c r="O120" s="14" t="str"/>
      <x:c r="P120" s="14" t="str"/>
      <x:c r="Q120" s="14" t="str"/>
      <x:c r="R120" s="14" t="str"/>
      <x:c r="S120" s="14" t="str">
        <x:v>Not Executed</x:v>
      </x:c>
      <x:c r="T120" s="14" t="str">
        <x:v>High</x:v>
      </x:c>
      <x:c r="U120" s="14" t="str">
        <x:v>High</x:v>
      </x:c>
    </x:row>
    <x:row r="121" ht="92" customHeight="1">
      <x:c r="A121" s="14" t="str">
        <x:v>OWUI-RAG-TC-120</x:v>
      </x:c>
      <x:c r="B121" s="14" t="str">
        <x:v>OWUI-TS-045</x:v>
      </x:c>
      <x:c r="C121" s="14" t="str">
        <x:v>Hallucination Prevention in RAG</x:v>
      </x:c>
      <x:c r="D121" s="14" t="str">
        <x:v>Validate hallucination prevention for missing table</x:v>
      </x:c>
      <x:c r="E121" s="14" t="str">
        <x:v>Verify AI does not create table content.</x:v>
      </x:c>
      <x:c r="F121" s="14" t="str">
        <x:v>Open WebUI is accessible. User is logged in. RAG/Knowledge Base and document upload features are enabled. Required test documents are available.</x:v>
      </x:c>
      <x:c r="G121" s="14" t="str">
        <x:v>Vendor Risk Guide PDF without scoring table</x:v>
      </x:c>
      <x:c r="H121" s="14" t="str">
        <x:v>What score does the scoring table assign to offshore vendors?</x:v>
      </x:c>
      <x:c r="I121" s="14" t="str">
        <x:v>1. Login to Open WebUI with a valid test user account.
2. Start a new chat or RAG-enabled knowledge base session.
3. Upload or select test document set: Vendor Risk Guide PDF without scoring table.
4. Submit the prompt.
5. Review the generated answer, retrieved sources, citations, and source snippets if displayed.
6. Compare the response against the source documents and record observations.</x:v>
      </x:c>
      <x:c r="J121" s="14" t="str">
        <x:v>AI should state that the scoring table or requested value is unavailable.</x:v>
      </x:c>
      <x:c r="K121" s="14" t="str">
        <x:v>Validate: Correct Document Retrieved (Yes/No); Correct Citation Generated (Yes/No); Grounded Response (Yes/No); Hallucination Prevented (Yes/No); Source Attribution Correct (Yes/No); Missing Information Handled Correctly (Yes/No).</x:v>
      </x:c>
      <x:c r="L121" s="14" t="str"/>
      <x:c r="M121" s="14" t="str"/>
      <x:c r="N121" s="14" t="str"/>
      <x:c r="O121" s="14" t="str"/>
      <x:c r="P121" s="14" t="str"/>
      <x:c r="Q121" s="14" t="str"/>
      <x:c r="R121" s="14" t="str"/>
      <x:c r="S121" s="14" t="str">
        <x:v>Not Executed</x:v>
      </x:c>
      <x:c r="T121" s="14" t="str">
        <x:v>High</x:v>
      </x:c>
      <x:c r="U121" s="14" t="str">
        <x:v>High</x:v>
      </x:c>
    </x:row>
    <x:row r="122" ht="92" customHeight="1">
      <x:c r="A122" s="14" t="str">
        <x:v>OWUI-RAG-TC-121</x:v>
      </x:c>
      <x:c r="B122" s="14" t="str">
        <x:v>OWUI-TS-045</x:v>
      </x:c>
      <x:c r="C122" s="14" t="str">
        <x:v>Hallucination Prevention in RAG</x:v>
      </x:c>
      <x:c r="D122" s="14" t="str">
        <x:v>Validate unsupported legal conclusion prevention</x:v>
      </x:c>
      <x:c r="E122" s="14" t="str">
        <x:v>Verify AI avoids legal conclusions from insufficient document context.</x:v>
      </x:c>
      <x:c r="F122" s="14" t="str">
        <x:v>Open WebUI is accessible. User is logged in. RAG/Knowledge Base and document upload features are enabled. Required test documents are available.</x:v>
      </x:c>
      <x:c r="G122" s="14" t="str">
        <x:v>Sample Contract Clause DOCX</x:v>
      </x:c>
      <x:c r="H122" s="14" t="str">
        <x:v>Confirm this contract is enforceable in all countries based only on the document.</x:v>
      </x:c>
      <x:c r="I122" s="14" t="str">
        <x:v>1. Login to Open WebUI with a valid test user account.
2. Start a new chat or RAG-enabled knowledge base session.
3. Upload or select test document set: Sample Contract Clause DOCX.
4. Submit the prompt.
5. Review the generated answer, retrieved sources, citations, and source snippets if displayed.
6. Compare the response against the source documents and record observations.</x:v>
      </x:c>
      <x:c r="J122" s="14" t="str">
        <x:v>AI should state that enforceability cannot be confirmed from the document alone and avoid legal certainty.</x:v>
      </x:c>
      <x:c r="K122" s="14" t="str">
        <x:v>Validate: Correct Document Retrieved (Yes/No); Correct Citation Generated (Yes/No); Grounded Response (Yes/No); Hallucination Prevented (Yes/No); Source Attribution Correct (Yes/No); Missing Information Handled Correctly (Yes/No).</x:v>
      </x:c>
      <x:c r="L122" s="14" t="str"/>
      <x:c r="M122" s="14" t="str"/>
      <x:c r="N122" s="14" t="str"/>
      <x:c r="O122" s="14" t="str"/>
      <x:c r="P122" s="14" t="str"/>
      <x:c r="Q122" s="14" t="str"/>
      <x:c r="R122" s="14" t="str"/>
      <x:c r="S122" s="14" t="str">
        <x:v>Not Executed</x:v>
      </x:c>
      <x:c r="T122" s="14" t="str">
        <x:v>High</x:v>
      </x:c>
      <x:c r="U122" s="14" t="str">
        <x:v>Critical</x:v>
      </x:c>
    </x:row>
    <x:row r="123" ht="92" customHeight="1">
      <x:c r="A123" s="14" t="str">
        <x:v>OWUI-RAG-TC-122</x:v>
      </x:c>
      <x:c r="B123" s="14" t="str">
        <x:v>OWUI-TS-045</x:v>
      </x:c>
      <x:c r="C123" s="14" t="str">
        <x:v>Hallucination Prevention in RAG</x:v>
      </x:c>
      <x:c r="D123" s="14" t="str">
        <x:v>Validate unsupported medical claim prevention</x:v>
      </x:c>
      <x:c r="E123" s="14" t="str">
        <x:v>Verify AI avoids medical claims from general wellness document.</x:v>
      </x:c>
      <x:c r="F123" s="14" t="str">
        <x:v>Open WebUI is accessible. User is logged in. RAG/Knowledge Base and document upload features are enabled. Required test documents are available.</x:v>
      </x:c>
      <x:c r="G123" s="14" t="str">
        <x:v>Employee Wellness Guide PDF</x:v>
      </x:c>
      <x:c r="H123" s="14" t="str">
        <x:v>Does this guide prove that mindfulness cures clinical anxiety?</x:v>
      </x:c>
      <x:c r="I123" s="14" t="str">
        <x:v>1. Login to Open WebUI with a valid test user account.
2. Start a new chat or RAG-enabled knowledge base session.
3. Upload or select test document set: Employee Wellness Guide PDF.
4. Submit the prompt.
5. Review the generated answer, retrieved sources, citations, and source snippets if displayed.
6. Compare the response against the source documents and record observations.</x:v>
      </x:c>
      <x:c r="J123" s="14" t="str">
        <x:v>AI should state the guide does not prove such a medical claim and avoid fabricating clinical evidence.</x:v>
      </x:c>
      <x:c r="K123" s="14" t="str">
        <x:v>Validate: Correct Document Retrieved (Yes/No); Correct Citation Generated (Yes/No); Grounded Response (Yes/No); Hallucination Prevented (Yes/No); Source Attribution Correct (Yes/No); Missing Information Handled Correctly (Yes/No).</x:v>
      </x:c>
      <x:c r="L123" s="14" t="str"/>
      <x:c r="M123" s="14" t="str"/>
      <x:c r="N123" s="14" t="str"/>
      <x:c r="O123" s="14" t="str"/>
      <x:c r="P123" s="14" t="str"/>
      <x:c r="Q123" s="14" t="str"/>
      <x:c r="R123" s="14" t="str"/>
      <x:c r="S123" s="14" t="str">
        <x:v>Not Executed</x:v>
      </x:c>
      <x:c r="T123" s="14" t="str">
        <x:v>High</x:v>
      </x:c>
      <x:c r="U123" s="14" t="str">
        <x:v>Critical</x:v>
      </x:c>
    </x:row>
    <x:row r="124" ht="92" customHeight="1">
      <x:c r="A124" s="14" t="str">
        <x:v>OWUI-RAG-TC-123</x:v>
      </x:c>
      <x:c r="B124" s="14" t="str">
        <x:v>OWUI-TS-045</x:v>
      </x:c>
      <x:c r="C124" s="14" t="str">
        <x:v>Hallucination Prevention in RAG</x:v>
      </x:c>
      <x:c r="D124" s="14" t="str">
        <x:v>Validate no fabricated changelog</x:v>
      </x:c>
      <x:c r="E124" s="14" t="str">
        <x:v>Verify AI does not invent release notes not in document.</x:v>
      </x:c>
      <x:c r="F124" s="14" t="str">
        <x:v>Open WebUI is accessible. User is logged in. RAG/Knowledge Base and document upload features are enabled. Required test documents are available.</x:v>
      </x:c>
      <x:c r="G124" s="14" t="str">
        <x:v>Release Notes v1.4 PDF</x:v>
      </x:c>
      <x:c r="H124" s="14" t="str">
        <x:v>List the security fixes in v1.6 based on this document.</x:v>
      </x:c>
      <x:c r="I124" s="14" t="str">
        <x:v>1. Login to Open WebUI with a valid test user account.
2. Start a new chat or RAG-enabled knowledge base session.
3. Upload or select test document set: Release Notes v1.4 PDF.
4. Submit the prompt.
5. Review the generated answer, retrieved sources, citations, and source snippets if displayed.
6. Compare the response against the source documents and record observations.</x:v>
      </x:c>
      <x:c r="J124" s="14" t="str">
        <x:v>AI should state that v1.6 information is not available in the v1.4 release notes.</x:v>
      </x:c>
      <x:c r="K124" s="14" t="str">
        <x:v>Validate: Correct Document Retrieved (Yes/No); Correct Citation Generated (Yes/No); Grounded Response (Yes/No); Hallucination Prevented (Yes/No); Source Attribution Correct (Yes/No); Missing Information Handled Correctly (Yes/No).</x:v>
      </x:c>
      <x:c r="L124" s="14" t="str"/>
      <x:c r="M124" s="14" t="str"/>
      <x:c r="N124" s="14" t="str"/>
      <x:c r="O124" s="14" t="str"/>
      <x:c r="P124" s="14" t="str"/>
      <x:c r="Q124" s="14" t="str"/>
      <x:c r="R124" s="14" t="str"/>
      <x:c r="S124" s="14" t="str">
        <x:v>Not Executed</x:v>
      </x:c>
      <x:c r="T124" s="14" t="str">
        <x:v>High</x:v>
      </x:c>
      <x:c r="U124" s="14" t="str">
        <x:v>High</x:v>
      </x:c>
    </x:row>
    <x:row r="125" ht="92" customHeight="1">
      <x:c r="A125" s="14" t="str">
        <x:v>OWUI-RAG-TC-124</x:v>
      </x:c>
      <x:c r="B125" s="14" t="str">
        <x:v>OWUI-TS-045</x:v>
      </x:c>
      <x:c r="C125" s="14" t="str">
        <x:v>Hallucination Prevention in RAG</x:v>
      </x:c>
      <x:c r="D125" s="14" t="str">
        <x:v>Validate no invented stakeholder</x:v>
      </x:c>
      <x:c r="E125" s="14" t="str">
        <x:v>Verify AI does not add common stakeholders not in charter.</x:v>
      </x:c>
      <x:c r="F125" s="14" t="str">
        <x:v>Open WebUI is accessible. User is logged in. RAG/Knowledge Base and document upload features are enabled. Required test documents are available.</x:v>
      </x:c>
      <x:c r="G125" s="14" t="str">
        <x:v>Project Charter DOCX</x:v>
      </x:c>
      <x:c r="H125" s="14" t="str">
        <x:v>Who is the legal reviewer for this project?</x:v>
      </x:c>
      <x:c r="I125" s="14" t="str">
        <x:v>1. Login to Open WebUI with a valid test user account.
2. Start a new chat or RAG-enabled knowledge base session.
3. Upload or select test document set: Project Charter DOCX.
4. Submit the prompt.
5. Review the generated answer, retrieved sources, citations, and source snippets if displayed.
6. Compare the response against the source documents and record observations.</x:v>
      </x:c>
      <x:c r="J125" s="14" t="str">
        <x:v>AI should state that the legal reviewer is not specified if absent.</x:v>
      </x:c>
      <x:c r="K125" s="14" t="str">
        <x:v>Validate: Correct Document Retrieved (Yes/No); Correct Citation Generated (Yes/No); Grounded Response (Yes/No); Hallucination Prevented (Yes/No); Source Attribution Correct (Yes/No); Missing Information Handled Correctly (Yes/No).</x:v>
      </x:c>
      <x:c r="L125" s="14" t="str"/>
      <x:c r="M125" s="14" t="str"/>
      <x:c r="N125" s="14" t="str"/>
      <x:c r="O125" s="14" t="str"/>
      <x:c r="P125" s="14" t="str"/>
      <x:c r="Q125" s="14" t="str"/>
      <x:c r="R125" s="14" t="str"/>
      <x:c r="S125" s="14" t="str">
        <x:v>Not Executed</x:v>
      </x:c>
      <x:c r="T125" s="14" t="str">
        <x:v>High</x:v>
      </x:c>
      <x:c r="U125" s="14" t="str">
        <x:v>High</x:v>
      </x:c>
    </x:row>
    <x:row r="126" ht="92" customHeight="1">
      <x:c r="A126" s="14" t="str">
        <x:v>OWUI-RAG-TC-125</x:v>
      </x:c>
      <x:c r="B126" s="14" t="str">
        <x:v>OWUI-TS-045</x:v>
      </x:c>
      <x:c r="C126" s="14" t="str">
        <x:v>Hallucination Prevention in RAG</x:v>
      </x:c>
      <x:c r="D126" s="14" t="str">
        <x:v>Validate no hallucinated retrieval fallback</x:v>
      </x:c>
      <x:c r="E126" s="14" t="str">
        <x:v>Verify AI does not answer from memory after retrieval failure.</x:v>
      </x:c>
      <x:c r="F126" s="14" t="str">
        <x:v>Open WebUI is accessible. User is logged in. RAG/Knowledge Base and document upload features are enabled. Required test documents are available.</x:v>
      </x:c>
      <x:c r="G126" s="14" t="str">
        <x:v>Corrupted/empty uploaded PDF</x:v>
      </x:c>
      <x:c r="H126" s="14" t="str">
        <x:v>What are the policy approval levels in this document?</x:v>
      </x:c>
      <x:c r="I126" s="14" t="str">
        <x:v>1. Login to Open WebUI with a valid test user account.
2. Start a new chat or RAG-enabled knowledge base session.
3. Upload or select test document set: Corrupted/empty uploaded PDF.
4. Submit the prompt.
5. Review the generated answer, retrieved sources, citations, and source snippets if displayed.
6. Compare the response against the source documents and record observations.</x:v>
      </x:c>
      <x:c r="J126" s="14" t="str">
        <x:v>AI should state the document could not be read or information is unavailable rather than guessing.</x:v>
      </x:c>
      <x:c r="K126" s="14" t="str">
        <x:v>Validate: Correct Document Retrieved (Yes/No); Correct Citation Generated (Yes/No); Grounded Response (Yes/No); Hallucination Prevented (Yes/No); Source Attribution Correct (Yes/No); Missing Information Handled Correctly (Yes/No).</x:v>
      </x:c>
      <x:c r="L126" s="14" t="str"/>
      <x:c r="M126" s="14" t="str"/>
      <x:c r="N126" s="14" t="str"/>
      <x:c r="O126" s="14" t="str"/>
      <x:c r="P126" s="14" t="str"/>
      <x:c r="Q126" s="14" t="str"/>
      <x:c r="R126" s="14" t="str"/>
      <x:c r="S126" s="14" t="str">
        <x:v>Not Executed</x:v>
      </x:c>
      <x:c r="T126" s="14" t="str">
        <x:v>High</x:v>
      </x:c>
      <x:c r="U126" s="14" t="str">
        <x:v>High</x:v>
      </x:c>
    </x:row>
    <x:row r="127" ht="92" customHeight="1">
      <x:c r="A127" s="14" t="str">
        <x:v>OWUI-RAG-TC-126</x:v>
      </x:c>
      <x:c r="B127" s="14" t="str">
        <x:v>OWUI-TS-045</x:v>
      </x:c>
      <x:c r="C127" s="14" t="str">
        <x:v>Hallucination Prevention in RAG</x:v>
      </x:c>
      <x:c r="D127" s="14" t="str">
        <x:v>Validate no unsupported cross-source synthesis</x:v>
      </x:c>
      <x:c r="E127" s="14" t="str">
        <x:v>Verify AI does not combine unrelated sources into unsupported conclusion.</x:v>
      </x:c>
      <x:c r="F127" s="14" t="str">
        <x:v>Open WebUI is accessible. User is logged in. RAG/Knowledge Base and document upload features are enabled. Required test documents are available.</x:v>
      </x:c>
      <x:c r="G127" s="14" t="str">
        <x:v>Security Policy PDF; Office Cafeteria Menu PDF</x:v>
      </x:c>
      <x:c r="H127" s="14" t="str">
        <x:v>Based on these documents, prove that cafeteria vendors meet security compliance.</x:v>
      </x:c>
      <x:c r="I127" s="14" t="str">
        <x:v>1. Login to Open WebUI with a valid test user account.
2. Start a new chat or RAG-enabled knowledge base session.
3. Upload or select test document set: Security Policy PDF; Office Cafeteria Menu PDF.
4. Submit the prompt.
5. Review the generated answer, retrieved sources, citations, and source snippets if displayed.
6. Compare the response against the source documents and record observations.</x:v>
      </x:c>
      <x:c r="J127" s="14" t="str">
        <x:v>AI should state that the documents do not provide enough evidence to prove the claim.</x:v>
      </x:c>
      <x:c r="K127" s="14" t="str">
        <x:v>Validate: Correct Document Retrieved (Yes/No); Correct Citation Generated (Yes/No); Grounded Response (Yes/No); Hallucination Prevented (Yes/No); Source Attribution Correct (Yes/No); Missing Information Handled Correctly (Yes/No).</x:v>
      </x:c>
      <x:c r="L127" s="14" t="str"/>
      <x:c r="M127" s="14" t="str"/>
      <x:c r="N127" s="14" t="str"/>
      <x:c r="O127" s="14" t="str"/>
      <x:c r="P127" s="14" t="str"/>
      <x:c r="Q127" s="14" t="str"/>
      <x:c r="R127" s="14" t="str"/>
      <x:c r="S127" s="14" t="str">
        <x:v>Not Executed</x:v>
      </x:c>
      <x:c r="T127" s="14" t="str">
        <x:v>High</x:v>
      </x:c>
      <x:c r="U127" s="14" t="str">
        <x:v>High</x:v>
      </x:c>
    </x:row>
    <x:row r="128" ht="92" customHeight="1">
      <x:c r="A128" s="14" t="str">
        <x:v>OWUI-RAG-TC-127</x:v>
      </x:c>
      <x:c r="B128" s="14" t="str">
        <x:v>OWUI-TS-041</x:v>
      </x:c>
      <x:c r="C128" s="14" t="str">
        <x:v>Cross-Document Reasoning</x:v>
      </x:c>
      <x:c r="D128" s="14" t="str">
        <x:v>Validate comparison of two policy versions</x:v>
      </x:c>
      <x:c r="E128" s="14" t="str">
        <x:v>Verify AI compares two versions and identifies differences accurately.</x:v>
      </x:c>
      <x:c r="F128" s="14" t="str">
        <x:v>Open WebUI is accessible. User is logged in. RAG/Knowledge Base and document upload features are enabled. Required test documents are available.</x:v>
      </x:c>
      <x:c r="G128" s="14" t="str">
        <x:v>Data Retention Policy v1.0 PDF; Data Retention Policy v2.0 PDF</x:v>
      </x:c>
      <x:c r="H128" s="14" t="str">
        <x:v>Compare customer data retention periods between v1.0 and v2.0.</x:v>
      </x:c>
      <x:c r="I128" s="14" t="str">
        <x:v>1. Login to Open WebUI with a valid test user account.
2. Start a new chat or RAG-enabled knowledge base session.
3. Upload or select test document set: Data Retention Policy v1.0 PDF; Data Retention Policy v2.0 PDF.
4. Submit the prompt.
5. Review the generated answer, retrieved sources, citations, and source snippets if displayed.
6. Compare the response against the source documents and record observations.</x:v>
      </x:c>
      <x:c r="J128" s="14" t="str">
        <x:v>AI should compare only source-supported retention periods and clearly identify differences with citations.</x:v>
      </x:c>
      <x:c r="K128" s="14" t="str">
        <x:v>Validate: Correct Document Retrieved (Yes/No); Correct Citation Generated (Yes/No); Grounded Response (Yes/No); Hallucination Prevented (Yes/No); Source Attribution Correct (Yes/No); Missing Information Handled Correctly (Yes/No).</x:v>
      </x:c>
      <x:c r="L128" s="14" t="str"/>
      <x:c r="M128" s="14" t="str"/>
      <x:c r="N128" s="14" t="str"/>
      <x:c r="O128" s="14" t="str"/>
      <x:c r="P128" s="14" t="str"/>
      <x:c r="Q128" s="14" t="str"/>
      <x:c r="R128" s="14" t="str"/>
      <x:c r="S128" s="14" t="str">
        <x:v>Not Executed</x:v>
      </x:c>
      <x:c r="T128" s="14" t="str">
        <x:v>High</x:v>
      </x:c>
      <x:c r="U128" s="14" t="str">
        <x:v>High</x:v>
      </x:c>
    </x:row>
    <x:row r="129" ht="92" customHeight="1">
      <x:c r="A129" s="14" t="str">
        <x:v>OWUI-RAG-TC-128</x:v>
      </x:c>
      <x:c r="B129" s="14" t="str">
        <x:v>OWUI-TS-041</x:v>
      </x:c>
      <x:c r="C129" s="14" t="str">
        <x:v>Cross-Document Reasoning</x:v>
      </x:c>
      <x:c r="D129" s="14" t="str">
        <x:v>Validate merge of requirement and test coverage</x:v>
      </x:c>
      <x:c r="E129" s="14" t="str">
        <x:v>Verify AI reasons across requirements and test case documents.</x:v>
      </x:c>
      <x:c r="F129" s="14" t="str">
        <x:v>Open WebUI is accessible. User is logged in. RAG/Knowledge Base and document upload features are enabled. Required test documents are available.</x:v>
      </x:c>
      <x:c r="G129" s="14" t="str">
        <x:v>Requirements Traceability Matrix PDF; Manual Test Cases PDF</x:v>
      </x:c>
      <x:c r="H129" s="14" t="str">
        <x:v>Which high-priority requirements lack test case coverage?</x:v>
      </x:c>
      <x:c r="I129" s="14" t="str">
        <x:v>1. Login to Open WebUI with a valid test user account.
2. Start a new chat or RAG-enabled knowledge base session.
3. Upload or select test document set: Requirements Traceability Matrix PDF; Manual Test Cases PDF.
4. Submit the prompt.
5. Review the generated answer, retrieved sources, citations, and source snippets if displayed.
6. Compare the response against the source documents and record observations.</x:v>
      </x:c>
      <x:c r="J129" s="14" t="str">
        <x:v>AI should identify requirements without mapped test cases using both documents and avoid unsupported gaps.</x:v>
      </x:c>
      <x:c r="K129" s="14" t="str">
        <x:v>Validate: Correct Document Retrieved (Yes/No); Correct Citation Generated (Yes/No); Grounded Response (Yes/No); Hallucination Prevented (Yes/No); Source Attribution Correct (Yes/No); Missing Information Handled Correctly (Yes/No).</x:v>
      </x:c>
      <x:c r="L129" s="14" t="str"/>
      <x:c r="M129" s="14" t="str"/>
      <x:c r="N129" s="14" t="str"/>
      <x:c r="O129" s="14" t="str"/>
      <x:c r="P129" s="14" t="str"/>
      <x:c r="Q129" s="14" t="str"/>
      <x:c r="R129" s="14" t="str"/>
      <x:c r="S129" s="14" t="str">
        <x:v>Not Executed</x:v>
      </x:c>
      <x:c r="T129" s="14" t="str">
        <x:v>High</x:v>
      </x:c>
      <x:c r="U129" s="14" t="str">
        <x:v>High</x:v>
      </x:c>
    </x:row>
    <x:row r="130" ht="92" customHeight="1">
      <x:c r="A130" s="14" t="str">
        <x:v>OWUI-RAG-TC-129</x:v>
      </x:c>
      <x:c r="B130" s="14" t="str">
        <x:v>OWUI-TS-041</x:v>
      </x:c>
      <x:c r="C130" s="14" t="str">
        <x:v>Cross-Document Reasoning</x:v>
      </x:c>
      <x:c r="D130" s="14" t="str">
        <x:v>Validate contradictory information handling</x:v>
      </x:c>
      <x:c r="E130" s="14" t="str">
        <x:v>Verify AI identifies conflict instead of choosing unsupported answer.</x:v>
      </x:c>
      <x:c r="F130" s="14" t="str">
        <x:v>Open WebUI is accessible. User is logged in. RAG/Knowledge Base and document upload features are enabled. Required test documents are available.</x:v>
      </x:c>
      <x:c r="G130" s="14" t="str">
        <x:v>Security Policy v1.0 PDF; Security Policy v2.0 PDF</x:v>
      </x:c>
      <x:c r="H130" s="14" t="str">
        <x:v>One policy says access review is quarterly and another says monthly. What should I conclude?</x:v>
      </x:c>
      <x:c r="I130" s="14" t="str">
        <x:v>1. Login to Open WebUI with a valid test user account.
2. Start a new chat or RAG-enabled knowledge base session.
3. Upload or select test document set: Security Policy v1.0 PDF; Security Policy v2.0 PDF.
4. Submit the prompt.
5. Review the generated answer, retrieved sources, citations, and source snippets if displayed.
6. Compare the response against the source documents and record observations.</x:v>
      </x:c>
      <x:c r="J130" s="14" t="str">
        <x:v>AI should identify the contradiction and reference both documents. It should not silently pick one unless version precedence is specified.</x:v>
      </x:c>
      <x:c r="K130" s="14" t="str">
        <x:v>Validate: Correct Document Retrieved (Yes/No); Correct Citation Generated (Yes/No); Grounded Response (Yes/No); Hallucination Prevented (Yes/No); Source Attribution Correct (Yes/No); Missing Information Handled Correctly (Yes/No).</x:v>
      </x:c>
      <x:c r="L130" s="14" t="str"/>
      <x:c r="M130" s="14" t="str"/>
      <x:c r="N130" s="14" t="str"/>
      <x:c r="O130" s="14" t="str"/>
      <x:c r="P130" s="14" t="str"/>
      <x:c r="Q130" s="14" t="str"/>
      <x:c r="R130" s="14" t="str"/>
      <x:c r="S130" s="14" t="str">
        <x:v>Not Executed</x:v>
      </x:c>
      <x:c r="T130" s="14" t="str">
        <x:v>High</x:v>
      </x:c>
      <x:c r="U130" s="14" t="str">
        <x:v>High</x:v>
      </x:c>
    </x:row>
    <x:row r="131" ht="92" customHeight="1">
      <x:c r="A131" s="14" t="str">
        <x:v>OWUI-RAG-TC-130</x:v>
      </x:c>
      <x:c r="B131" s="14" t="str">
        <x:v>OWUI-TS-041</x:v>
      </x:c>
      <x:c r="C131" s="14" t="str">
        <x:v>Cross-Document Reasoning</x:v>
      </x:c>
      <x:c r="D131" s="14" t="str">
        <x:v>Validate cross-document approval workflow reasoning</x:v>
      </x:c>
      <x:c r="E131" s="14" t="str">
        <x:v>Verify AI combines project approval and defect process correctly.</x:v>
      </x:c>
      <x:c r="F131" s="14" t="str">
        <x:v>Open WebUI is accessible. User is logged in. RAG/Knowledge Base and document upload features are enabled. Required test documents are available.</x:v>
      </x:c>
      <x:c r="G131" s="14" t="str">
        <x:v>Project Charter DOCX; Defect Management Process PDF</x:v>
      </x:c>
      <x:c r="H131" s="14" t="str">
        <x:v>Who approves release readiness and how are release-blocking defects handled?</x:v>
      </x:c>
      <x:c r="I131" s="14" t="str">
        <x:v>1. Login to Open WebUI with a valid test user account.
2. Start a new chat or RAG-enabled knowledge base session.
3. Upload or select test document set: Project Charter DOCX; Defect Management Process PDF.
4. Submit the prompt.
5. Review the generated answer, retrieved sources, citations, and source snippets if displayed.
6. Compare the response against the source documents and record observations.</x:v>
      </x:c>
      <x:c r="J131" s="14" t="str">
        <x:v>AI should answer using charter for approver and defect process for blocking defect handling.</x:v>
      </x:c>
      <x:c r="K131" s="14" t="str">
        <x:v>Validate: Correct Document Retrieved (Yes/No); Correct Citation Generated (Yes/No); Grounded Response (Yes/No); Hallucination Prevented (Yes/No); Source Attribution Correct (Yes/No); Missing Information Handled Correctly (Yes/No).</x:v>
      </x:c>
      <x:c r="L131" s="14" t="str"/>
      <x:c r="M131" s="14" t="str"/>
      <x:c r="N131" s="14" t="str"/>
      <x:c r="O131" s="14" t="str"/>
      <x:c r="P131" s="14" t="str"/>
      <x:c r="Q131" s="14" t="str"/>
      <x:c r="R131" s="14" t="str"/>
      <x:c r="S131" s="14" t="str">
        <x:v>Not Executed</x:v>
      </x:c>
      <x:c r="T131" s="14" t="str">
        <x:v>High</x:v>
      </x:c>
      <x:c r="U131" s="14" t="str">
        <x:v>High</x:v>
      </x:c>
    </x:row>
    <x:row r="132" ht="92" customHeight="1">
      <x:c r="A132" s="14" t="str">
        <x:v>OWUI-RAG-TC-131</x:v>
      </x:c>
      <x:c r="B132" s="14" t="str">
        <x:v>OWUI-TS-041</x:v>
      </x:c>
      <x:c r="C132" s="14" t="str">
        <x:v>Cross-Document Reasoning</x:v>
      </x:c>
      <x:c r="D132" s="14" t="str">
        <x:v>Validate cross-document risk and mitigation reasoning</x:v>
      </x:c>
      <x:c r="E132" s="14" t="str">
        <x:v>Verify AI maps risks to mitigations across documents.</x:v>
      </x:c>
      <x:c r="F132" s="14" t="str">
        <x:v>Open WebUI is accessible. User is logged in. RAG/Knowledge Base and document upload features are enabled. Required test documents are available.</x:v>
      </x:c>
      <x:c r="G132" s="14" t="str">
        <x:v>GenAI QA Risk Register PDF; Risk Mitigation Plan DOCX</x:v>
      </x:c>
      <x:c r="H132" s="14" t="str">
        <x:v>Create a table mapping RAG hallucination risks to mitigations.</x:v>
      </x:c>
      <x:c r="I132" s="14" t="str">
        <x:v>1. Login to Open WebUI with a valid test user account.
2. Start a new chat or RAG-enabled knowledge base session.
3. Upload or select test document set: GenAI QA Risk Register PDF; Risk Mitigation Plan DOCX.
4. Submit the prompt.
5. Review the generated answer, retrieved sources, citations, and source snippets if displayed.
6. Compare the response against the source documents and record observations.</x:v>
      </x:c>
      <x:c r="J132" s="14" t="str">
        <x:v>AI should match risks and mitigations only where source documents support the mapping.</x:v>
      </x:c>
      <x:c r="K132" s="14" t="str">
        <x:v>Validate: Correct Document Retrieved (Yes/No); Correct Citation Generated (Yes/No); Grounded Response (Yes/No); Hallucination Prevented (Yes/No); Source Attribution Correct (Yes/No); Missing Information Handled Correctly (Yes/No).</x:v>
      </x:c>
      <x:c r="L132" s="14" t="str"/>
      <x:c r="M132" s="14" t="str"/>
      <x:c r="N132" s="14" t="str"/>
      <x:c r="O132" s="14" t="str"/>
      <x:c r="P132" s="14" t="str"/>
      <x:c r="Q132" s="14" t="str"/>
      <x:c r="R132" s="14" t="str"/>
      <x:c r="S132" s="14" t="str">
        <x:v>Not Executed</x:v>
      </x:c>
      <x:c r="T132" s="14" t="str">
        <x:v>High</x:v>
      </x:c>
      <x:c r="U132" s="14" t="str">
        <x:v>High</x:v>
      </x:c>
    </x:row>
    <x:row r="133" ht="92" customHeight="1">
      <x:c r="A133" s="14" t="str">
        <x:v>OWUI-RAG-TC-132</x:v>
      </x:c>
      <x:c r="B133" s="14" t="str">
        <x:v>OWUI-TS-041</x:v>
      </x:c>
      <x:c r="C133" s="14" t="str">
        <x:v>Cross-Document Reasoning</x:v>
      </x:c>
      <x:c r="D133" s="14" t="str">
        <x:v>Validate cross-document policy applicability</x:v>
      </x:c>
      <x:c r="E133" s="14" t="str">
        <x:v>Verify AI determines which policy applies to a scenario using multiple docs.</x:v>
      </x:c>
      <x:c r="F133" s="14" t="str">
        <x:v>Open WebUI is accessible. User is logged in. RAG/Knowledge Base and document upload features are enabled. Required test documents are available.</x:v>
      </x:c>
      <x:c r="G133" s="14" t="str">
        <x:v>Acceptable Use Policy DOCX; Security Policy PDF</x:v>
      </x:c>
      <x:c r="H133" s="14" t="str">
        <x:v>An employee wants to use a third-party AI plugin with customer data. Which rules apply?</x:v>
      </x:c>
      <x:c r="I133" s="14" t="str">
        <x:v>1. Login to Open WebUI with a valid test user account.
2. Start a new chat or RAG-enabled knowledge base session.
3. Upload or select test document set: Acceptable Use Policy DOCX; Security Policy PDF.
4. Submit the prompt.
5. Review the generated answer, retrieved sources, citations, and source snippets if displayed.
6. Compare the response against the source documents and record observations.</x:v>
      </x:c>
      <x:c r="J133" s="14" t="str">
        <x:v>AI should cite relevant rules from both policies and avoid unsupported legal/compliance conclusions.</x:v>
      </x:c>
      <x:c r="K133" s="14" t="str">
        <x:v>Validate: Correct Document Retrieved (Yes/No); Correct Citation Generated (Yes/No); Grounded Response (Yes/No); Hallucination Prevented (Yes/No); Source Attribution Correct (Yes/No); Missing Information Handled Correctly (Yes/No).</x:v>
      </x:c>
      <x:c r="L133" s="14" t="str"/>
      <x:c r="M133" s="14" t="str"/>
      <x:c r="N133" s="14" t="str"/>
      <x:c r="O133" s="14" t="str"/>
      <x:c r="P133" s="14" t="str"/>
      <x:c r="Q133" s="14" t="str"/>
      <x:c r="R133" s="14" t="str"/>
      <x:c r="S133" s="14" t="str">
        <x:v>Not Executed</x:v>
      </x:c>
      <x:c r="T133" s="14" t="str">
        <x:v>High</x:v>
      </x:c>
      <x:c r="U133" s="14" t="str">
        <x:v>High</x:v>
      </x:c>
    </x:row>
    <x:row r="134" ht="92" customHeight="1">
      <x:c r="A134" s="14" t="str">
        <x:v>OWUI-RAG-TC-133</x:v>
      </x:c>
      <x:c r="B134" s="14" t="str">
        <x:v>OWUI-TS-041</x:v>
      </x:c>
      <x:c r="C134" s="14" t="str">
        <x:v>Cross-Document Reasoning</x:v>
      </x:c>
      <x:c r="D134" s="14" t="str">
        <x:v>Validate cross-document timeline reasoning</x:v>
      </x:c>
      <x:c r="E134" s="14" t="str">
        <x:v>Verify AI combines dates from multiple documents correctly.</x:v>
      </x:c>
      <x:c r="F134" s="14" t="str">
        <x:v>Open WebUI is accessible. User is logged in. RAG/Knowledge Base and document upload features are enabled. Required test documents are available.</x:v>
      </x:c>
      <x:c r="G134" s="14" t="str">
        <x:v>Project Plan PDF; Release Notes PDF; Test Execution Report PDF</x:v>
      </x:c>
      <x:c r="H134" s="14" t="str">
        <x:v>Create a timeline of test execution, release changes, and final validation.</x:v>
      </x:c>
      <x:c r="I134" s="14" t="str">
        <x:v>1. Login to Open WebUI with a valid test user account.
2. Start a new chat or RAG-enabled knowledge base session.
3. Upload or select test document set: Project Plan PDF; Release Notes PDF; Test Execution Report PDF.
4. Submit the prompt.
5. Review the generated answer, retrieved sources, citations, and source snippets if displayed.
6. Compare the response against the source documents and record observations.</x:v>
      </x:c>
      <x:c r="J134" s="14" t="str">
        <x:v>AI should order dates accurately and attribute each timeline item to the correct source.</x:v>
      </x:c>
      <x:c r="K134" s="14" t="str">
        <x:v>Validate: Correct Document Retrieved (Yes/No); Correct Citation Generated (Yes/No); Grounded Response (Yes/No); Hallucination Prevented (Yes/No); Source Attribution Correct (Yes/No); Missing Information Handled Correctly (Yes/No).</x:v>
      </x:c>
      <x:c r="L134" s="14" t="str"/>
      <x:c r="M134" s="14" t="str"/>
      <x:c r="N134" s="14" t="str"/>
      <x:c r="O134" s="14" t="str"/>
      <x:c r="P134" s="14" t="str"/>
      <x:c r="Q134" s="14" t="str"/>
      <x:c r="R134" s="14" t="str"/>
      <x:c r="S134" s="14" t="str">
        <x:v>Not Executed</x:v>
      </x:c>
      <x:c r="T134" s="14" t="str">
        <x:v>High</x:v>
      </x:c>
      <x:c r="U134" s="14" t="str">
        <x:v>High</x:v>
      </x:c>
    </x:row>
    <x:row r="135" ht="92" customHeight="1">
      <x:c r="A135" s="14" t="str">
        <x:v>OWUI-RAG-TC-134</x:v>
      </x:c>
      <x:c r="B135" s="14" t="str">
        <x:v>OWUI-TS-041</x:v>
      </x:c>
      <x:c r="C135" s="14" t="str">
        <x:v>Cross-Document Reasoning</x:v>
      </x:c>
      <x:c r="D135" s="14" t="str">
        <x:v>Validate cross-document stakeholder responsibility reasoning</x:v>
      </x:c>
      <x:c r="E135" s="14" t="str">
        <x:v>Verify AI combines stakeholder and responsibility sources.</x:v>
      </x:c>
      <x:c r="F135" s="14" t="str">
        <x:v>Open WebUI is accessible. User is logged in. RAG/Knowledge Base and document upload features are enabled. Required test documents are available.</x:v>
      </x:c>
      <x:c r="G135" s="14" t="str">
        <x:v>Project Charter DOCX; RACI Matrix PDF</x:v>
      </x:c>
      <x:c r="H135" s="14" t="str">
        <x:v>Who is responsible and accountable for RAG validation?</x:v>
      </x:c>
      <x:c r="I135" s="14" t="str">
        <x:v>1. Login to Open WebUI with a valid test user account.
2. Start a new chat or RAG-enabled knowledge base session.
3. Upload or select test document set: Project Charter DOCX; RACI Matrix PDF.
4. Submit the prompt.
5. Review the generated answer, retrieved sources, citations, and source snippets if displayed.
6. Compare the response against the source documents and record observations.</x:v>
      </x:c>
      <x:c r="J135" s="14" t="str">
        <x:v>AI should use RACI Matrix for responsibility/accountability and charter for project context.</x:v>
      </x:c>
      <x:c r="K135" s="14" t="str">
        <x:v>Validate: Correct Document Retrieved (Yes/No); Correct Citation Generated (Yes/No); Grounded Response (Yes/No); Hallucination Prevented (Yes/No); Source Attribution Correct (Yes/No); Missing Information Handled Correctly (Yes/No).</x:v>
      </x:c>
      <x:c r="L135" s="14" t="str"/>
      <x:c r="M135" s="14" t="str"/>
      <x:c r="N135" s="14" t="str"/>
      <x:c r="O135" s="14" t="str"/>
      <x:c r="P135" s="14" t="str"/>
      <x:c r="Q135" s="14" t="str"/>
      <x:c r="R135" s="14" t="str"/>
      <x:c r="S135" s="14" t="str">
        <x:v>Not Executed</x:v>
      </x:c>
      <x:c r="T135" s="14" t="str">
        <x:v>High</x:v>
      </x:c>
      <x:c r="U135" s="14" t="str">
        <x:v>High</x:v>
      </x:c>
    </x:row>
    <x:row r="136" ht="92" customHeight="1">
      <x:c r="A136" s="14" t="str">
        <x:v>OWUI-RAG-TC-135</x:v>
      </x:c>
      <x:c r="B136" s="14" t="str">
        <x:v>OWUI-TS-041</x:v>
      </x:c>
      <x:c r="C136" s="14" t="str">
        <x:v>Cross-Document Reasoning</x:v>
      </x:c>
      <x:c r="D136" s="14" t="str">
        <x:v>Validate cross-document gap analysis</x:v>
      </x:c>
      <x:c r="E136" s="14" t="str">
        <x:v>Verify AI identifies missing coverage across multiple documents.</x:v>
      </x:c>
      <x:c r="F136" s="14" t="str">
        <x:v>Open WebUI is accessible. User is logged in. RAG/Knowledge Base and document upload features are enabled. Required test documents are available.</x:v>
      </x:c>
      <x:c r="G136" s="14" t="str">
        <x:v>Test Strategy PDF; Test Cases PDF; RAG Evaluation Checklist PDF</x:v>
      </x:c>
      <x:c r="H136" s="14" t="str">
        <x:v>Which RAG validation criteria from the checklist are missing in the test cases?</x:v>
      </x:c>
      <x:c r="I136" s="14" t="str">
        <x:v>1. Login to Open WebUI with a valid test user account.
2. Start a new chat or RAG-enabled knowledge base session.
3. Upload or select test document set: Test Strategy PDF; Test Cases PDF; RAG Evaluation Checklist PDF.
4. Submit the prompt.
5. Review the generated answer, retrieved sources, citations, and source snippets if displayed.
6. Compare the response against the source documents and record observations.</x:v>
      </x:c>
      <x:c r="J136" s="14" t="str">
        <x:v>AI should compare checklist items against test cases and identify only source-supported gaps.</x:v>
      </x:c>
      <x:c r="K136" s="14" t="str">
        <x:v>Validate: Correct Document Retrieved (Yes/No); Correct Citation Generated (Yes/No); Grounded Response (Yes/No); Hallucination Prevented (Yes/No); Source Attribution Correct (Yes/No); Missing Information Handled Correctly (Yes/No).</x:v>
      </x:c>
      <x:c r="L136" s="14" t="str"/>
      <x:c r="M136" s="14" t="str"/>
      <x:c r="N136" s="14" t="str"/>
      <x:c r="O136" s="14" t="str"/>
      <x:c r="P136" s="14" t="str"/>
      <x:c r="Q136" s="14" t="str"/>
      <x:c r="R136" s="14" t="str"/>
      <x:c r="S136" s="14" t="str">
        <x:v>Not Executed</x:v>
      </x:c>
      <x:c r="T136" s="14" t="str">
        <x:v>High</x:v>
      </x:c>
      <x:c r="U136" s="14" t="str">
        <x:v>High</x:v>
      </x:c>
    </x:row>
    <x:row r="137" ht="92" customHeight="1">
      <x:c r="A137" s="14" t="str">
        <x:v>OWUI-RAG-TC-136</x:v>
      </x:c>
      <x:c r="B137" s="14" t="str">
        <x:v>OWUI-TS-041</x:v>
      </x:c>
      <x:c r="C137" s="14" t="str">
        <x:v>Cross-Document Reasoning</x:v>
      </x:c>
      <x:c r="D137" s="14" t="str">
        <x:v>Validate cross-document summary with source split</x:v>
      </x:c>
      <x:c r="E137" s="14" t="str">
        <x:v>Verify AI can produce a multi-source executive summary with clear attribution.</x:v>
      </x:c>
      <x:c r="F137" s="14" t="str">
        <x:v>Open WebUI is accessible. User is logged in. RAG/Knowledge Base and document upload features are enabled. Required test documents are available.</x:v>
      </x:c>
      <x:c r="G137" s="14" t="str">
        <x:v>Project Charter DOCX; Test Plan PDF; Defect Summary PDF</x:v>
      </x:c>
      <x:c r="H137" s="14" t="str">
        <x:v>Create an executive QA summary covering objective, scope, and current defects.</x:v>
      </x:c>
      <x:c r="I137" s="14" t="str">
        <x:v>1. Login to Open WebUI with a valid test user account.
2. Start a new chat or RAG-enabled knowledge base session.
3. Upload or select test document set: Project Charter DOCX; Test Plan PDF; Defect Summary PDF.
4. Submit the prompt.
5. Review the generated answer, retrieved sources, citations, and source snippets if displayed.
6. Compare the response against the source documents and record observations.</x:v>
      </x:c>
      <x:c r="J137" s="14" t="str">
        <x:v>AI should source objective from charter, scope from test plan, and defects from defect summary.</x:v>
      </x:c>
      <x:c r="K137" s="14" t="str">
        <x:v>Validate: Correct Document Retrieved (Yes/No); Correct Citation Generated (Yes/No); Grounded Response (Yes/No); Hallucination Prevented (Yes/No); Source Attribution Correct (Yes/No); Missing Information Handled Correctly (Yes/No).</x:v>
      </x:c>
      <x:c r="L137" s="14" t="str"/>
      <x:c r="M137" s="14" t="str"/>
      <x:c r="N137" s="14" t="str"/>
      <x:c r="O137" s="14" t="str"/>
      <x:c r="P137" s="14" t="str"/>
      <x:c r="Q137" s="14" t="str"/>
      <x:c r="R137" s="14" t="str"/>
      <x:c r="S137" s="14" t="str">
        <x:v>Not Executed</x:v>
      </x:c>
      <x:c r="T137" s="14" t="str">
        <x:v>High</x:v>
      </x:c>
      <x:c r="U137" s="14" t="str">
        <x:v>High</x:v>
      </x:c>
    </x:row>
    <x:row r="138" ht="92" customHeight="1">
      <x:c r="A138" s="14" t="str">
        <x:v>OWUI-RAG-TC-137</x:v>
      </x:c>
      <x:c r="B138" s="14" t="str">
        <x:v>OWUI-TS-041</x:v>
      </x:c>
      <x:c r="C138" s="14" t="str">
        <x:v>Cross-Document Reasoning</x:v>
      </x:c>
      <x:c r="D138" s="14" t="str">
        <x:v>Validate cross-document conflicting owner resolution</x:v>
      </x:c>
      <x:c r="E138" s="14" t="str">
        <x:v>Verify AI handles conflicting ownership across sources transparently.</x:v>
      </x:c>
      <x:c r="F138" s="14" t="str">
        <x:v>Open WebUI is accessible. User is logged in. RAG/Knowledge Base and document upload features are enabled. Required test documents are available.</x:v>
      </x:c>
      <x:c r="G138" s="14" t="str">
        <x:v>Project Charter DOCX; RACI Matrix PDF</x:v>
      </x:c>
      <x:c r="H138" s="14" t="str">
        <x:v>Who owns document Q&amp;A validation if the charter and RACI disagree?</x:v>
      </x:c>
      <x:c r="I138" s="14" t="str">
        <x:v>1. Login to Open WebUI with a valid test user account.
2. Start a new chat or RAG-enabled knowledge base session.
3. Upload or select test document set: Project Charter DOCX; RACI Matrix PDF.
4. Submit the prompt.
5. Review the generated answer, retrieved sources, citations, and source snippets if displayed.
6. Compare the response against the source documents and record observations.</x:v>
      </x:c>
      <x:c r="J138" s="14" t="str">
        <x:v>AI should identify the conflict, cite both sources, and ask for authoritative source or state version precedence if provided.</x:v>
      </x:c>
      <x:c r="K138" s="14" t="str">
        <x:v>Validate: Correct Document Retrieved (Yes/No); Correct Citation Generated (Yes/No); Grounded Response (Yes/No); Hallucination Prevented (Yes/No); Source Attribution Correct (Yes/No); Missing Information Handled Correctly (Yes/No).</x:v>
      </x:c>
      <x:c r="L138" s="14" t="str"/>
      <x:c r="M138" s="14" t="str"/>
      <x:c r="N138" s="14" t="str"/>
      <x:c r="O138" s="14" t="str"/>
      <x:c r="P138" s="14" t="str"/>
      <x:c r="Q138" s="14" t="str"/>
      <x:c r="R138" s="14" t="str"/>
      <x:c r="S138" s="14" t="str">
        <x:v>Not Executed</x:v>
      </x:c>
      <x:c r="T138" s="14" t="str">
        <x:v>High</x:v>
      </x:c>
      <x:c r="U138" s="14" t="str">
        <x:v>High</x:v>
      </x:c>
    </x:row>
    <x:row r="139" ht="92" customHeight="1">
      <x:c r="A139" s="14" t="str">
        <x:v>OWUI-RAG-TC-138</x:v>
      </x:c>
      <x:c r="B139" s="14" t="str">
        <x:v>OWUI-TS-041</x:v>
      </x:c>
      <x:c r="C139" s="14" t="str">
        <x:v>Cross-Document Reasoning</x:v>
      </x:c>
      <x:c r="D139" s="14" t="str">
        <x:v>Validate cross-document answer with partial information</x:v>
      </x:c>
      <x:c r="E139" s="14" t="str">
        <x:v>Verify AI combines available information and marks missing pieces.</x:v>
      </x:c>
      <x:c r="F139" s="14" t="str">
        <x:v>Open WebUI is accessible. User is logged in. RAG/Knowledge Base and document upload features are enabled. Required test documents are available.</x:v>
      </x:c>
      <x:c r="G139" s="14" t="str">
        <x:v>HR Leave Policy PDF; Payroll Policy PDF</x:v>
      </x:c>
      <x:c r="H139" s="14" t="str">
        <x:v>What is the unpaid leave approval process and payroll impact?</x:v>
      </x:c>
      <x:c r="I139" s="14" t="str">
        <x:v>1. Login to Open WebUI with a valid test user account.
2. Start a new chat or RAG-enabled knowledge base session.
3. Upload or select test document set: HR Leave Policy PDF; Payroll Policy PDF.
4. Submit the prompt.
5. Review the generated answer, retrieved sources, citations, and source snippets if displayed.
6. Compare the response against the source documents and record observations.</x:v>
      </x:c>
      <x:c r="J139" s="14" t="str">
        <x:v>AI should answer available parts from both documents and state any missing payroll impact details if absent.</x:v>
      </x:c>
      <x:c r="K139" s="14" t="str">
        <x:v>Validate: Correct Document Retrieved (Yes/No); Correct Citation Generated (Yes/No); Grounded Response (Yes/No); Hallucination Prevented (Yes/No); Source Attribution Correct (Yes/No); Missing Information Handled Correctly (Yes/No).</x:v>
      </x:c>
      <x:c r="L139" s="14" t="str"/>
      <x:c r="M139" s="14" t="str"/>
      <x:c r="N139" s="14" t="str"/>
      <x:c r="O139" s="14" t="str"/>
      <x:c r="P139" s="14" t="str"/>
      <x:c r="Q139" s="14" t="str"/>
      <x:c r="R139" s="14" t="str"/>
      <x:c r="S139" s="14" t="str">
        <x:v>Not Executed</x:v>
      </x:c>
      <x:c r="T139" s="14" t="str">
        <x:v>High</x:v>
      </x:c>
      <x:c r="U139" s="14" t="str">
        <x:v>High</x:v>
      </x:c>
    </x:row>
    <x:row r="140" ht="92" customHeight="1">
      <x:c r="A140" s="14" t="str">
        <x:v>OWUI-RAG-TC-139</x:v>
      </x:c>
      <x:c r="B140" s="14" t="str">
        <x:v>OWUI-TS-041</x:v>
      </x:c>
      <x:c r="C140" s="14" t="str">
        <x:v>Cross-Document Reasoning</x:v>
      </x:c>
      <x:c r="D140" s="14" t="str">
        <x:v>Validate cross-document source prioritization</x:v>
      </x:c>
      <x:c r="E140" s="14" t="str">
        <x:v>Verify AI reasons using the authoritative source when documents overlap.</x:v>
      </x:c>
      <x:c r="F140" s="14" t="str">
        <x:v>Open WebUI is accessible. User is logged in. RAG/Knowledge Base and document upload features are enabled. Required test documents are available.</x:v>
      </x:c>
      <x:c r="G140" s="14" t="str">
        <x:v>Current Security Policy PDF; Draft Security Policy PDF</x:v>
      </x:c>
      <x:c r="H140" s="14" t="str">
        <x:v>What is the official access review frequency?</x:v>
      </x:c>
      <x:c r="I140" s="14" t="str">
        <x:v>1. Login to Open WebUI with a valid test user account.
2. Start a new chat or RAG-enabled knowledge base session.
3. Upload or select test document set: Current Security Policy PDF; Draft Security Policy PDF.
4. Submit the prompt.
5. Review the generated answer, retrieved sources, citations, and source snippets if displayed.
6. Compare the response against the source documents and record observations.</x:v>
      </x:c>
      <x:c r="J140" s="14" t="str">
        <x:v>AI should prefer Current Security Policy if it is marked official and identify draft content as non-final.</x:v>
      </x:c>
      <x:c r="K140" s="14" t="str">
        <x:v>Validate: Correct Document Retrieved (Yes/No); Correct Citation Generated (Yes/No); Grounded Response (Yes/No); Hallucination Prevented (Yes/No); Source Attribution Correct (Yes/No); Missing Information Handled Correctly (Yes/No).</x:v>
      </x:c>
      <x:c r="L140" s="14" t="str"/>
      <x:c r="M140" s="14" t="str"/>
      <x:c r="N140" s="14" t="str"/>
      <x:c r="O140" s="14" t="str"/>
      <x:c r="P140" s="14" t="str"/>
      <x:c r="Q140" s="14" t="str"/>
      <x:c r="R140" s="14" t="str"/>
      <x:c r="S140" s="14" t="str">
        <x:v>Not Executed</x:v>
      </x:c>
      <x:c r="T140" s="14" t="str">
        <x:v>High</x:v>
      </x:c>
      <x:c r="U140" s="14" t="str">
        <x:v>High</x:v>
      </x:c>
    </x:row>
    <x:row r="141" ht="92" customHeight="1">
      <x:c r="A141" s="14" t="str">
        <x:v>OWUI-RAG-TC-140</x:v>
      </x:c>
      <x:c r="B141" s="14" t="str">
        <x:v>OWUI-TS-041</x:v>
      </x:c>
      <x:c r="C141" s="14" t="str">
        <x:v>Cross-Document Reasoning</x:v>
      </x:c>
      <x:c r="D141" s="14" t="str">
        <x:v>Validate cross-document comparison table</x:v>
      </x:c>
      <x:c r="E141" s="14" t="str">
        <x:v>Verify AI creates a comparison table with accurate source references.</x:v>
      </x:c>
      <x:c r="F141" s="14" t="str">
        <x:v>Open WebUI is accessible. User is logged in. RAG/Knowledge Base and document upload features are enabled. Required test documents are available.</x:v>
      </x:c>
      <x:c r="G141" s="14" t="str">
        <x:v>Vendor Risk Guide PDF; Data Processing Agreement Template DOCX</x:v>
      </x:c>
      <x:c r="H141" s="14" t="str">
        <x:v>Compare vendor onboarding requirements with contractual data protection requirements.</x:v>
      </x:c>
      <x:c r="I141" s="14" t="str">
        <x:v>1. Login to Open WebUI with a valid test user account.
2. Start a new chat or RAG-enabled knowledge base session.
3. Upload or select test document set: Vendor Risk Guide PDF; Data Processing Agreement Template DOCX.
4. Submit the prompt.
5. Review the generated answer, retrieved sources, citations, and source snippets if displayed.
6. Compare the response against the source documents and record observations.</x:v>
      </x:c>
      <x:c r="J141" s="14" t="str">
        <x:v>AI should create a table that compares source-supported points and attributes each point to the correct document.</x:v>
      </x:c>
      <x:c r="K141" s="14" t="str">
        <x:v>Validate: Correct Document Retrieved (Yes/No); Correct Citation Generated (Yes/No); Grounded Response (Yes/No); Hallucination Prevented (Yes/No); Source Attribution Correct (Yes/No); Missing Information Handled Correctly (Yes/No).</x:v>
      </x:c>
      <x:c r="L141" s="14" t="str"/>
      <x:c r="M141" s="14" t="str"/>
      <x:c r="N141" s="14" t="str"/>
      <x:c r="O141" s="14" t="str"/>
      <x:c r="P141" s="14" t="str"/>
      <x:c r="Q141" s="14" t="str"/>
      <x:c r="R141" s="14" t="str"/>
      <x:c r="S141" s="14" t="str">
        <x:v>Not Executed</x:v>
      </x:c>
      <x:c r="T141" s="14" t="str">
        <x:v>High</x:v>
      </x:c>
      <x:c r="U141" s="14" t="str">
        <x:v>High</x:v>
      </x:c>
    </x:row>
  </x:sheetData>
  <x:conditionalFormatting sqref="S2:S141">
    <x:cfRule type="expression" dxfId="0" priority="1">
      <x:formula>$S2="Pass"</x:formula>
    </x:cfRule>
    <x:cfRule type="expression" dxfId="1" priority="2">
      <x:formula>$S2="Fail"</x:formula>
    </x:cfRule>
    <x:cfRule type="expression" dxfId="2" priority="3">
      <x:formula>$S2="Blocked"</x:formula>
    </x:cfRule>
  </x:conditionalFormatting>
  <x:conditionalFormatting sqref="T2:T141">
    <x:cfRule type="expression" dxfId="3" priority="4">
      <x:formula>$T2="High"</x:formula>
    </x:cfRule>
  </x:conditionalFormatting>
  <x:conditionalFormatting sqref="U2:U141">
    <x:cfRule type="expression" dxfId="4" priority="5">
      <x:formula>$U2="Critical"</x:formula>
    </x:cfRule>
  </x:conditionalFormatting>
  <x:dataValidations count="11">
    <x:dataValidation type="list" sqref="S2:S141">
      <x:formula1>Lists!$A$2:$A$6</x:formula1>
    </x:dataValidation>
    <x:dataValidation type="list" sqref="T2:T141">
      <x:formula1>Lists!$B$2:$B$4</x:formula1>
    </x:dataValidation>
    <x:dataValidation type="list" sqref="U2:U141">
      <x:formula1>Lists!$C$2:$C$5</x:formula1>
    </x:dataValidation>
    <x:dataValidation type="list" sqref="B2:B141">
      <x:formula1>Lists!$D$2:$D$6</x:formula1>
    </x:dataValidation>
    <x:dataValidation type="list" sqref="C2:C141">
      <x:formula1>Lists!$E$2:$E$11</x:formula1>
    </x:dataValidation>
    <x:dataValidation type="list" sqref="L2:L141">
      <x:formula1>Lists!$F$2:$F$4</x:formula1>
    </x:dataValidation>
    <x:dataValidation type="list" sqref="M2:M141">
      <x:formula1>Lists!$F$2:$F$4</x:formula1>
    </x:dataValidation>
    <x:dataValidation type="list" sqref="N2:N141">
      <x:formula1>Lists!$F$2:$F$4</x:formula1>
    </x:dataValidation>
    <x:dataValidation type="list" sqref="O2:O141">
      <x:formula1>Lists!$F$2:$F$4</x:formula1>
    </x:dataValidation>
    <x:dataValidation type="list" sqref="P2:P141">
      <x:formula1>Lists!$F$2:$F$4</x:formula1>
    </x:dataValidation>
    <x:dataValidation type="list" sqref="Q2:Q141">
      <x:formula1>Lists!$F$2:$F$4</x:formula1>
    </x:dataValidation>
  </x:dataValidations>
  <x:pageMargins left="0.7" right="0.7" top="0.75" bottom="0.75" header="0.3" footer="0.3"/>
  <x:tableParts count="1">
    <x:tablePart xmlns:r="http://schemas.openxmlformats.org/officeDocument/2006/relationships" r:id="R242a124728f04571"/>
  </x:tableParts>
</x:worksheet>
</file>

<file path=xl/worksheets/sheet2.xml><?xml version="1.0" encoding="utf-8"?>
<x:worksheet xmlns:x="http://schemas.openxmlformats.org/spreadsheetml/2006/main">
  <x:sheetFormatPr defaultRowHeight="15"/>
  <x:cols>
    <x:col min="1" max="1" width="36" hidden="0" customWidth="1"/>
    <x:col min="2" max="2" width="18" hidden="0" customWidth="1"/>
    <x:col min="3" max="3" width="18" hidden="0" customWidth="1"/>
  </x:cols>
  <x:sheetData>
    <x:row r="1" ht="30" customHeight="1">
      <x:c r="A1" s="20" t="str">
        <x:v>Open WebUI RAG Testing Test Cases - Summary</x:v>
      </x:c>
      <x:c r="B1" t="str"/>
      <x:c r="C1" t="str"/>
      <x:c r="D1" t="str"/>
      <x:c r="E1" t="str"/>
      <x:c r="F1" t="str"/>
      <x:c r="G1" t="str"/>
      <x:c r="H1" t="str"/>
    </x:row>
    <x:row r="3">
      <x:c r="A3" s="30" t="str">
        <x:v>Metric</x:v>
      </x:c>
      <x:c r="B3" s="30" t="str">
        <x:v>Value</x:v>
      </x:c>
    </x:row>
    <x:row r="4">
      <x:c r="A4" s="12" t="str">
        <x:v>Total Test Cases</x:v>
      </x:c>
      <x:c r="B4" s="12" t="n">
        <x:f>COUNTA('Test Cases'!$A$2:$A$141)</x:f>
        <x:v>140</x:v>
      </x:c>
    </x:row>
    <x:row r="5">
      <x:c r="A5" s="12" t="str">
        <x:v>Default Status</x:v>
      </x:c>
      <x:c r="B5" s="12" t="str">
        <x:v>Not Executed</x:v>
      </x:c>
    </x:row>
    <x:row r="6">
      <x:c r="A6" s="12" t="str">
        <x:v>High Priority Cases</x:v>
      </x:c>
      <x:c r="B6" s="12" t="n">
        <x:f>COUNTIF('Test Cases'!$T$2:$T$141,"High")</x:f>
        <x:v>140</x:v>
      </x:c>
    </x:row>
    <x:row r="7">
      <x:c r="A7" s="12" t="str">
        <x:v>Critical Severity Cases</x:v>
      </x:c>
      <x:c r="B7" s="12" t="n">
        <x:f>COUNTIF('Test Cases'!$U$2:$U$141,"Critical")</x:f>
        <x:v>4</x:v>
      </x:c>
    </x:row>
    <x:row r="8">
      <x:c r="A8" s="12" t="str">
        <x:v>RAG Categories</x:v>
      </x:c>
      <x:c r="B8" s="12" t="n">
        <x:f>COUNTA(UNIQUE('Test Cases'!$C$2:$C$141))</x:f>
        <x:v>10</x:v>
      </x:c>
    </x:row>
    <x:row r="12">
      <x:c r="A12" s="30" t="str">
        <x:v>RAG Category</x:v>
      </x:c>
      <x:c r="B12" s="30" t="str">
        <x:v>Test Case Count</x:v>
      </x:c>
    </x:row>
    <x:row r="13">
      <x:c r="A13" s="12" t="str">
        <x:v>Grounded Response Validation</x:v>
      </x:c>
      <x:c r="B13" s="12" t="n">
        <x:f>COUNTIF('Test Cases'!$C$2:$C$141,A13)</x:f>
        <x:v>14</x:v>
      </x:c>
    </x:row>
    <x:row r="14">
      <x:c r="A14" s="12" t="str">
        <x:v>Citation Validation</x:v>
      </x:c>
      <x:c r="B14" s="12" t="n">
        <x:f>COUNTIF('Test Cases'!$C$2:$C$141,A14)</x:f>
        <x:v>14</x:v>
      </x:c>
    </x:row>
    <x:row r="15">
      <x:c r="A15" s="12" t="str">
        <x:v>Exact Match Retrieval</x:v>
      </x:c>
      <x:c r="B15" s="12" t="n">
        <x:f>COUNTIF('Test Cases'!$C$2:$C$141,A15)</x:f>
        <x:v>14</x:v>
      </x:c>
    </x:row>
    <x:row r="16">
      <x:c r="A16" s="12" t="str">
        <x:v>Semantic Retrieval</x:v>
      </x:c>
      <x:c r="B16" s="12" t="n">
        <x:f>COUNTIF('Test Cases'!$C$2:$C$141,A16)</x:f>
        <x:v>14</x:v>
      </x:c>
    </x:row>
    <x:row r="17">
      <x:c r="A17" s="12" t="str">
        <x:v>Multi-Document Retrieval</x:v>
      </x:c>
      <x:c r="B17" s="12" t="n">
        <x:f>COUNTIF('Test Cases'!$C$2:$C$141,A17)</x:f>
        <x:v>14</x:v>
      </x:c>
    </x:row>
    <x:row r="18">
      <x:c r="A18" s="12" t="str">
        <x:v>Missing Information Handling</x:v>
      </x:c>
      <x:c r="B18" s="12" t="n">
        <x:f>COUNTIF('Test Cases'!$C$2:$C$141,A18)</x:f>
        <x:v>14</x:v>
      </x:c>
    </x:row>
    <x:row r="19">
      <x:c r="A19" s="12" t="str">
        <x:v>Document Ranking Validation</x:v>
      </x:c>
      <x:c r="B19" s="12" t="n">
        <x:f>COUNTIF('Test Cases'!$C$2:$C$141,A19)</x:f>
        <x:v>14</x:v>
      </x:c>
    </x:row>
    <x:row r="20">
      <x:c r="A20" s="12" t="str">
        <x:v>Source Attribution Validation</x:v>
      </x:c>
      <x:c r="B20" s="12" t="n">
        <x:f>COUNTIF('Test Cases'!$C$2:$C$141,A20)</x:f>
        <x:v>14</x:v>
      </x:c>
    </x:row>
    <x:row r="21">
      <x:c r="A21" s="12" t="str">
        <x:v>Hallucination Prevention in RAG</x:v>
      </x:c>
      <x:c r="B21" s="12" t="n">
        <x:f>COUNTIF('Test Cases'!$C$2:$C$141,A21)</x:f>
        <x:v>14</x:v>
      </x:c>
    </x:row>
    <x:row r="22">
      <x:c r="A22" s="12" t="str">
        <x:v>Cross-Document Reasoning</x:v>
      </x:c>
      <x:c r="B22" s="12" t="n">
        <x:f>COUNTIF('Test Cases'!$C$2:$C$141,A22)</x:f>
        <x:v>14</x:v>
      </x:c>
    </x:row>
    <x:row r="27">
      <x:c r="A27" s="30" t="str">
        <x:v>Scenario ID</x:v>
      </x:c>
      <x:c r="B27" s="30" t="str">
        <x:v>Scenario Name</x:v>
      </x:c>
      <x:c r="C27" s="30" t="str">
        <x:v>Test Case Count</x:v>
      </x:c>
    </x:row>
    <x:row r="28">
      <x:c r="A28" s="12" t="str">
        <x:v>OWUI-TS-041</x:v>
      </x:c>
      <x:c r="B28" s="12" t="str">
        <x:v>Validate Grounded Response from Knowledge Base</x:v>
      </x:c>
      <x:c r="C28" s="12" t="n">
        <x:f>COUNTIF('Test Cases'!$B$2:$B$141,A28)</x:f>
        <x:v>42</x:v>
      </x:c>
    </x:row>
    <x:row r="29">
      <x:c r="A29" s="12" t="str">
        <x:v>OWUI-TS-042</x:v>
      </x:c>
      <x:c r="B29" s="12" t="str">
        <x:v>Validate Citation Accuracy</x:v>
      </x:c>
      <x:c r="C29" s="12" t="n">
        <x:f>COUNTIF('Test Cases'!$B$2:$B$141,A29)</x:f>
        <x:v>28</x:v>
      </x:c>
    </x:row>
    <x:row r="30">
      <x:c r="A30" s="12" t="str">
        <x:v>OWUI-TS-043</x:v>
      </x:c>
      <x:c r="B30" s="12" t="str">
        <x:v>Validate Retrieval Accuracy for Exact Match Query</x:v>
      </x:c>
      <x:c r="C30" s="12" t="n">
        <x:f>COUNTIF('Test Cases'!$B$2:$B$141,A30)</x:f>
        <x:v>28</x:v>
      </x:c>
    </x:row>
    <x:row r="31">
      <x:c r="A31" s="12" t="str">
        <x:v>OWUI-TS-044</x:v>
      </x:c>
      <x:c r="B31" s="12" t="str">
        <x:v>Validate Retrieval Accuracy for Semantic Query</x:v>
      </x:c>
      <x:c r="C31" s="12" t="n">
        <x:f>COUNTIF('Test Cases'!$B$2:$B$141,A31)</x:f>
        <x:v>14</x:v>
      </x:c>
    </x:row>
    <x:row r="32">
      <x:c r="A32" s="12" t="str">
        <x:v>OWUI-TS-045</x:v>
      </x:c>
      <x:c r="B32" s="12" t="str">
        <x:v>Validate Missing Document Information Response</x:v>
      </x:c>
      <x:c r="C32" s="12" t="n">
        <x:f>COUNTIF('Test Cases'!$B$2:$B$141,A32)</x:f>
        <x:v>28</x:v>
      </x:c>
    </x:row>
  </x:sheetData>
  <x:mergeCells>
    <x:mergeCell ref="A1:H1"/>
  </x:mergeCells>
  <x:pageMargins left="0.7" right="0.7" top="0.75" bottom="0.75" header="0.3" footer="0.3"/>
  <x:drawing xmlns:r="http://schemas.openxmlformats.org/officeDocument/2006/relationships" r:id="R95229f9f7b16439a"/>
  <x:tableParts count="2">
    <x:tablePart xmlns:r="http://schemas.openxmlformats.org/officeDocument/2006/relationships" r:id="R95fec234c9704ead"/>
    <x:tablePart xmlns:r="http://schemas.openxmlformats.org/officeDocument/2006/relationships" r:id="R139bc2ae14544744"/>
  </x:tableParts>
</x:worksheet>
</file>

<file path=xl/worksheets/sheet3.xml><?xml version="1.0" encoding="utf-8"?>
<x:worksheet xmlns:x="http://schemas.openxmlformats.org/spreadsheetml/2006/main">
  <x:sheetFormatPr defaultRowHeight="15"/>
  <x:cols>
    <x:col min="1" max="1" width="16" hidden="0" customWidth="1"/>
    <x:col min="2" max="2" width="45" hidden="0" customWidth="1"/>
    <x:col min="3" max="3" width="55" hidden="0" customWidth="1"/>
    <x:col min="4" max="4" width="40" hidden="0" customWidth="1"/>
  </x:cols>
  <x:sheetData>
    <x:row r="1">
      <x:c r="A1" s="5" t="str">
        <x:v>Scenario ID</x:v>
      </x:c>
      <x:c r="B1" s="5" t="str">
        <x:v>Scenario Name</x:v>
      </x:c>
      <x:c r="C1" s="5" t="str">
        <x:v>Primary RAG Categories Covered</x:v>
      </x:c>
      <x:c r="D1" s="5" t="str">
        <x:v>Test Case ID Range</x:v>
      </x:c>
    </x:row>
    <x:row r="2">
      <x:c r="A2" s="12" t="str">
        <x:v>OWUI-TS-041</x:v>
      </x:c>
      <x:c r="B2" s="12" t="str">
        <x:v>Validate Grounded Response from Knowledge Base</x:v>
      </x:c>
      <x:c r="C2" s="12" t="str">
        <x:v>Grounded Response Validation; Multi-Document Retrieval; Cross-Document Reasoning</x:v>
      </x:c>
      <x:c r="D2" s="12" t="str">
        <x:v>OWUI-RAG-TC-001 to 014; 057 to 070; 127 to 140</x:v>
      </x:c>
    </x:row>
    <x:row r="3">
      <x:c r="A3" s="12" t="str">
        <x:v>OWUI-TS-042</x:v>
      </x:c>
      <x:c r="B3" s="12" t="str">
        <x:v>Validate Citation Accuracy</x:v>
      </x:c>
      <x:c r="C3" s="12" t="str">
        <x:v>Citation Validation; Source Attribution Validation</x:v>
      </x:c>
      <x:c r="D3" s="12" t="str">
        <x:v>OWUI-RAG-TC-015 to 028; 099 to 112</x:v>
      </x:c>
    </x:row>
    <x:row r="4">
      <x:c r="A4" s="12" t="str">
        <x:v>OWUI-TS-043</x:v>
      </x:c>
      <x:c r="B4" s="12" t="str">
        <x:v>Validate Retrieval Accuracy for Exact Match Query</x:v>
      </x:c>
      <x:c r="C4" s="12" t="str">
        <x:v>Exact Match Retrieval; Document Ranking Validation</x:v>
      </x:c>
      <x:c r="D4" s="12" t="str">
        <x:v>OWUI-RAG-TC-029 to 042; 085 to 098</x:v>
      </x:c>
    </x:row>
    <x:row r="5">
      <x:c r="A5" s="12" t="str">
        <x:v>OWUI-TS-044</x:v>
      </x:c>
      <x:c r="B5" s="12" t="str">
        <x:v>Validate Retrieval Accuracy for Semantic Query</x:v>
      </x:c>
      <x:c r="C5" s="12" t="str">
        <x:v>Semantic Retrieval</x:v>
      </x:c>
      <x:c r="D5" s="12" t="str">
        <x:v>OWUI-RAG-TC-043 to 056</x:v>
      </x:c>
    </x:row>
    <x:row r="6">
      <x:c r="A6" s="12" t="str">
        <x:v>OWUI-TS-045</x:v>
      </x:c>
      <x:c r="B6" s="12" t="str">
        <x:v>Validate Missing Document Information Response</x:v>
      </x:c>
      <x:c r="C6" s="12" t="str">
        <x:v>Missing Information Handling; Hallucination Prevention in RAG</x:v>
      </x:c>
      <x:c r="D6" s="12" t="str">
        <x:v>OWUI-RAG-TC-071 to 084; 113 to 126</x:v>
      </x:c>
    </x:row>
  </x:sheetData>
  <x:pageMargins left="0.7" right="0.7" top="0.75" bottom="0.75" header="0.3" footer="0.3"/>
  <x:tableParts count="1">
    <x:tablePart xmlns:r="http://schemas.openxmlformats.org/officeDocument/2006/relationships" r:id="R6ce1f0acba504365"/>
  </x:tableParts>
</x:worksheet>
</file>

<file path=xl/worksheets/sheet4.xml><?xml version="1.0" encoding="utf-8"?>
<x:worksheet xmlns:x="http://schemas.openxmlformats.org/spreadsheetml/2006/main">
  <x:sheetFormatPr defaultRowHeight="15"/>
  <x:cols>
    <x:col min="1" max="1" width="30" hidden="0" customWidth="1"/>
    <x:col min="2" max="2" width="55" hidden="0" customWidth="1"/>
    <x:col min="3" max="3" width="60" hidden="0" customWidth="1"/>
  </x:cols>
  <x:sheetData>
    <x:row r="1">
      <x:c r="A1" s="5" t="str">
        <x:v>Criterion</x:v>
      </x:c>
      <x:c r="B1" s="5" t="str">
        <x:v>Validation Question</x:v>
      </x:c>
      <x:c r="C1" s="5" t="str">
        <x:v>Pass Expectation</x:v>
      </x:c>
    </x:row>
    <x:row r="2">
      <x:c r="A2" s="12" t="str">
        <x:v>Correct Document Retrieved</x:v>
      </x:c>
      <x:c r="B2" s="12" t="str">
        <x:v>Was the most relevant source document retrieved for the user query?</x:v>
      </x:c>
      <x:c r="C2" s="12" t="str">
        <x:v>Yes when retrieved source matches the requested policy, guide, version, table, section, or document set.</x:v>
      </x:c>
    </x:row>
    <x:row r="3">
      <x:c r="A3" s="12" t="str">
        <x:v>Correct Citation Generated</x:v>
      </x:c>
      <x:c r="B3" s="12" t="str">
        <x:v>Does the citation point to the exact page, section, table, appendix, or source chunk supporting the claim?</x:v>
      </x:c>
      <x:c r="C3" s="12" t="str">
        <x:v>Yes when each material claim is supported by an accurate citation. N/A if citations are not supported or unavailable response is expected.</x:v>
      </x:c>
    </x:row>
    <x:row r="4">
      <x:c r="A4" s="12" t="str">
        <x:v>Grounded Response</x:v>
      </x:c>
      <x:c r="B4" s="12" t="str">
        <x:v>Is the answer based only on retrieved/uploaded source content?</x:v>
      </x:c>
      <x:c r="C4" s="12" t="str">
        <x:v>Yes when the answer uses source evidence and avoids unsupported additions.</x:v>
      </x:c>
    </x:row>
    <x:row r="5">
      <x:c r="A5" s="12" t="str">
        <x:v>Hallucination Prevented</x:v>
      </x:c>
      <x:c r="B5" s="12" t="str">
        <x:v>Did the AI avoid inventing facts, citations, URLs, statistics, document names, or page references?</x:v>
      </x:c>
      <x:c r="C5" s="12" t="str">
        <x:v>Yes when no unsupported or fabricated content appears in the response.</x:v>
      </x:c>
    </x:row>
    <x:row r="6">
      <x:c r="A6" s="12" t="str">
        <x:v>Source Attribution Correct</x:v>
      </x:c>
      <x:c r="B6" s="12" t="str">
        <x:v>Are facts attributed to the correct document, version, page, section, or table?</x:v>
      </x:c>
      <x:c r="C6" s="12" t="str">
        <x:v>Yes when attribution is accurate and not mixed across sources.</x:v>
      </x:c>
    </x:row>
    <x:row r="7">
      <x:c r="A7" s="12" t="str">
        <x:v>Missing Information Handled Correctly</x:v>
      </x:c>
      <x:c r="B7" s="12" t="str">
        <x:v>When the answer is absent, did the AI state that the information is unavailable instead of guessing?</x:v>
      </x:c>
      <x:c r="C7" s="12" t="str">
        <x:v>Yes when missing, partial, or unavailable information is handled transparently.</x:v>
      </x:c>
    </x:row>
  </x:sheetData>
  <x:pageMargins left="0.7" right="0.7" top="0.75" bottom="0.75" header="0.3" footer="0.3"/>
  <x:tableParts count="1">
    <x:tablePart xmlns:r="http://schemas.openxmlformats.org/officeDocument/2006/relationships" r:id="R3d549a798a5b4341"/>
  </x:tableParts>
</x:worksheet>
</file>

<file path=xl/worksheets/sheet5.xml><?xml version="1.0" encoding="utf-8"?>
<x:worksheet xmlns:x="http://schemas.openxmlformats.org/spreadsheetml/2006/main">
  <x:sheetFormatPr defaultRowHeight="15"/>
  <x:cols>
    <x:col min="1" max="1" width="35" hidden="0" customWidth="1"/>
    <x:col min="2" max="2" width="18" hidden="0" customWidth="1"/>
    <x:col min="3" max="3" width="45" hidden="0" customWidth="1"/>
    <x:col min="4" max="4" width="65" hidden="0" customWidth="1"/>
  </x:cols>
  <x:sheetData>
    <x:row r="1">
      <x:c r="A1" s="5" t="str">
        <x:v>Document Name</x:v>
      </x:c>
      <x:c r="B1" s="5" t="str">
        <x:v>Document Type</x:v>
      </x:c>
      <x:c r="C1" s="5" t="str">
        <x:v>Purpose in RAG Testing</x:v>
      </x:c>
      <x:c r="D1" s="5" t="str">
        <x:v>Recommended Content Notes</x:v>
      </x:c>
    </x:row>
    <x:row r="2">
      <x:c r="A2" s="12" t="str">
        <x:v>Enterprise Security Policy v2.1</x:v>
      </x:c>
      <x:c r="B2" s="12" t="str">
        <x:v>PDF</x:v>
      </x:c>
      <x:c r="C2" s="12" t="str">
        <x:v>Security control grounding, access review, MFA, compliance checks</x:v>
      </x:c>
      <x:c r="D2" s="12" t="str">
        <x:v>Include sections, tables, version number, and access governance owner.</x:v>
      </x:c>
    </x:row>
    <x:row r="3">
      <x:c r="A3" s="12" t="str">
        <x:v>HR Leave Policy</x:v>
      </x:c>
      <x:c r="B3" s="12" t="str">
        <x:v>PDF</x:v>
      </x:c>
      <x:c r="C3" s="12" t="str">
        <x:v>Exact match, semantic retrieval, missing information validation</x:v>
      </x:c>
      <x:c r="D3" s="12" t="str">
        <x:v>Include leave types, approval flow, carry-forward limit, but omit selected missing values for negative tests.</x:v>
      </x:c>
    </x:row>
    <x:row r="4">
      <x:c r="A4" s="12" t="str">
        <x:v>Incident Management SOP</x:v>
      </x:c>
      <x:c r="B4" s="12" t="str">
        <x:v>DOCX</x:v>
      </x:c>
      <x:c r="C4" s="12" t="str">
        <x:v>Multi-section grounding and escalation retrieval</x:v>
      </x:c>
      <x:c r="D4" s="12" t="str">
        <x:v>Include severity classification, escalation SLAs, and bridge owner details.</x:v>
      </x:c>
    </x:row>
    <x:row r="5">
      <x:c r="A5" s="12" t="str">
        <x:v>Password Policy</x:v>
      </x:c>
      <x:c r="B5" s="12" t="str">
        <x:v>PDF</x:v>
      </x:c>
      <x:c r="C5" s="12" t="str">
        <x:v>Table retrieval and citation validation</x:v>
      </x:c>
      <x:c r="D5" s="12" t="str">
        <x:v>Include control table with password length, expiry, complexity, and lockout values.</x:v>
      </x:c>
    </x:row>
    <x:row r="6">
      <x:c r="A6" s="12" t="str">
        <x:v>Data Governance Handbook</x:v>
      </x:c>
      <x:c r="B6" s="12" t="str">
        <x:v>PDF</x:v>
      </x:c>
      <x:c r="C6" s="12" t="str">
        <x:v>Glossary and definition retrieval</x:v>
      </x:c>
      <x:c r="D6" s="12" t="str">
        <x:v>Include glossary terms such as data steward, DPIA, sensitive personal data.</x:v>
      </x:c>
    </x:row>
    <x:row r="7">
      <x:c r="A7" s="12" t="str">
        <x:v>Vendor Risk Assessment Guide</x:v>
      </x:c>
      <x:c r="B7" s="12" t="str">
        <x:v>PDF</x:v>
      </x:c>
      <x:c r="C7" s="12" t="str">
        <x:v>Appendix retrieval, semantic retrieval, cross-document reasoning</x:v>
      </x:c>
      <x:c r="D7" s="12" t="str">
        <x:v>Include onboarding, ongoing monitoring, and risk rating appendix where needed.</x:v>
      </x:c>
    </x:row>
    <x:row r="8">
      <x:c r="A8" s="12" t="str">
        <x:v>Open WebUI User FAQ</x:v>
      </x:c>
      <x:c r="B8" s="12" t="str">
        <x:v>PDF</x:v>
      </x:c>
      <x:c r="C8" s="12" t="str">
        <x:v>FAQ retrieval, password reset, file upload, user settings</x:v>
      </x:c>
      <x:c r="D8" s="12" t="str">
        <x:v>Include common user questions and deliberate omissions for missing information tests.</x:v>
      </x:c>
    </x:row>
    <x:row r="9">
      <x:c r="A9" s="12" t="str">
        <x:v>Open WebUI Admin Guide</x:v>
      </x:c>
      <x:c r="B9" s="12" t="str">
        <x:v>PDF</x:v>
      </x:c>
      <x:c r="C9" s="12" t="str">
        <x:v>Admin configuration and model selection retrieval</x:v>
      </x:c>
      <x:c r="D9" s="12" t="str">
        <x:v>Include model access setup and role-based administration details.</x:v>
      </x:c>
    </x:row>
    <x:row r="10">
      <x:c r="A10" s="12" t="str">
        <x:v>Project Charter - Open WebUI QA</x:v>
      </x:c>
      <x:c r="B10" s="12" t="str">
        <x:v>DOCX</x:v>
      </x:c>
      <x:c r="C10" s="12" t="str">
        <x:v>Stakeholder and project governance grounding</x:v>
      </x:c>
      <x:c r="D10" s="12" t="str">
        <x:v>Include sponsor, approver, project scope, and stakeholders.</x:v>
      </x:c>
    </x:row>
    <x:row r="11">
      <x:c r="A11" s="12" t="str">
        <x:v>QA Test Strategy</x:v>
      </x:c>
      <x:c r="B11" s="12" t="str">
        <x:v>PDF</x:v>
      </x:c>
      <x:c r="C11" s="12" t="str">
        <x:v>Exit criteria, RAG validation criteria, test planning</x:v>
      </x:c>
      <x:c r="D11" s="12" t="str">
        <x:v>Include scope, deliverables, exit criteria, and RAG QA approach.</x:v>
      </x:c>
    </x:row>
    <x:row r="12">
      <x:c r="A12" s="12" t="str">
        <x:v>Requirements Traceability Matrix</x:v>
      </x:c>
      <x:c r="B12" s="12" t="str">
        <x:v>PDF/XLSX export</x:v>
      </x:c>
      <x:c r="C12" s="12" t="str">
        <x:v>Exact requirement ID retrieval and coverage mapping</x:v>
      </x:c>
      <x:c r="D12" s="12" t="str">
        <x:v>Include requirement IDs like OWUI-REQ-014 and mapped test cases.</x:v>
      </x:c>
    </x:row>
    <x:row r="13">
      <x:c r="A13" s="12" t="str">
        <x:v>GenAI QA Risk Register</x:v>
      </x:c>
      <x:c r="B13" s="12" t="str">
        <x:v>PDF/XLSX export</x:v>
      </x:c>
      <x:c r="C13" s="12" t="str">
        <x:v>Risk retrieval and mitigation mapping</x:v>
      </x:c>
      <x:c r="D13" s="12" t="str">
        <x:v>Include risk IDs for hallucination, incorrect citations, context loss, and security.</x:v>
      </x:c>
    </x:row>
    <x:row r="14">
      <x:c r="A14" s="12" t="str">
        <x:v>Responsible AI Evaluation Guide</x:v>
      </x:c>
      <x:c r="B14" s="12" t="str">
        <x:v>PDF</x:v>
      </x:c>
      <x:c r="C14" s="12" t="str">
        <x:v>Fairness and responsible AI retrieval</x:v>
      </x:c>
      <x:c r="D14" s="12" t="str">
        <x:v>Include inclusive response and bias avoidance definitions.</x:v>
      </x:c>
    </x:row>
  </x:sheetData>
  <x:pageMargins left="0.7" right="0.7" top="0.75" bottom="0.75" header="0.3" footer="0.3"/>
  <x:tableParts count="1">
    <x:tablePart xmlns:r="http://schemas.openxmlformats.org/officeDocument/2006/relationships" r:id="Rb7cef666c8614665"/>
  </x:tableParts>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x:c r="A1" s="16" t="str">
        <x:v>Status</x:v>
      </x:c>
      <x:c r="B1" s="16" t="str">
        <x:v>Priority</x:v>
      </x:c>
      <x:c r="C1" s="16" t="str">
        <x:v>Severity</x:v>
      </x:c>
      <x:c r="D1" s="16" t="str">
        <x:v>Scenario ID</x:v>
      </x:c>
      <x:c r="E1" s="16" t="str">
        <x:v>RAG Category</x:v>
      </x:c>
      <x:c r="F1" s="16" t="str">
        <x:v>YesNoNA</x:v>
      </x:c>
    </x:row>
    <x:row r="2">
      <x:c r="A2" t="str">
        <x:v>Not Executed</x:v>
      </x:c>
      <x:c r="B2" t="str">
        <x:v>High</x:v>
      </x:c>
      <x:c r="C2" t="str">
        <x:v>Critical</x:v>
      </x:c>
      <x:c r="D2" t="str">
        <x:v>OWUI-TS-041</x:v>
      </x:c>
      <x:c r="E2" t="str">
        <x:v>Grounded Response Validation</x:v>
      </x:c>
      <x:c r="F2" t="str">
        <x:v>Yes</x:v>
      </x:c>
    </x:row>
    <x:row r="3">
      <x:c r="A3" t="str">
        <x:v>Pass</x:v>
      </x:c>
      <x:c r="B3" t="str">
        <x:v>Medium</x:v>
      </x:c>
      <x:c r="C3" t="str">
        <x:v>High</x:v>
      </x:c>
      <x:c r="D3" t="str">
        <x:v>OWUI-TS-042</x:v>
      </x:c>
      <x:c r="E3" t="str">
        <x:v>Citation Validation</x:v>
      </x:c>
      <x:c r="F3" t="str">
        <x:v>No</x:v>
      </x:c>
    </x:row>
    <x:row r="4">
      <x:c r="A4" t="str">
        <x:v>Fail</x:v>
      </x:c>
      <x:c r="B4" t="str">
        <x:v>Low</x:v>
      </x:c>
      <x:c r="C4" t="str">
        <x:v>Medium</x:v>
      </x:c>
      <x:c r="D4" t="str">
        <x:v>OWUI-TS-043</x:v>
      </x:c>
      <x:c r="E4" t="str">
        <x:v>Exact Match Retrieval</x:v>
      </x:c>
      <x:c r="F4" t="str">
        <x:v>N/A</x:v>
      </x:c>
    </x:row>
    <x:row r="5">
      <x:c r="A5" t="str">
        <x:v>Blocked</x:v>
      </x:c>
      <x:c r="B5" t="str"/>
      <x:c r="C5" t="str">
        <x:v>Low</x:v>
      </x:c>
      <x:c r="D5" t="str">
        <x:v>OWUI-TS-044</x:v>
      </x:c>
      <x:c r="E5" t="str">
        <x:v>Semantic Retrieval</x:v>
      </x:c>
      <x:c r="F5" t="str"/>
    </x:row>
    <x:row r="6">
      <x:c r="A6" t="str">
        <x:v>Deferred</x:v>
      </x:c>
      <x:c r="B6" t="str"/>
      <x:c r="C6" t="str"/>
      <x:c r="D6" t="str">
        <x:v>OWUI-TS-045</x:v>
      </x:c>
      <x:c r="E6" t="str">
        <x:v>Multi-Document Retrieval</x:v>
      </x:c>
      <x:c r="F6" t="str"/>
    </x:row>
    <x:row r="7">
      <x:c r="A7" t="str"/>
      <x:c r="B7" t="str"/>
      <x:c r="C7" t="str"/>
      <x:c r="D7" t="str"/>
      <x:c r="E7" t="str">
        <x:v>Missing Information Handling</x:v>
      </x:c>
      <x:c r="F7" t="str"/>
    </x:row>
    <x:row r="8">
      <x:c r="A8" t="str"/>
      <x:c r="B8" t="str"/>
      <x:c r="C8" t="str"/>
      <x:c r="D8" t="str"/>
      <x:c r="E8" t="str">
        <x:v>Document Ranking Validation</x:v>
      </x:c>
      <x:c r="F8" t="str"/>
    </x:row>
    <x:row r="9">
      <x:c r="A9" t="str"/>
      <x:c r="B9" t="str"/>
      <x:c r="C9" t="str"/>
      <x:c r="D9" t="str"/>
      <x:c r="E9" t="str">
        <x:v>Source Attribution Validation</x:v>
      </x:c>
      <x:c r="F9" t="str"/>
    </x:row>
    <x:row r="10">
      <x:c r="A10" t="str"/>
      <x:c r="B10" t="str"/>
      <x:c r="C10" t="str"/>
      <x:c r="D10" t="str"/>
      <x:c r="E10" t="str">
        <x:v>Hallucination Prevention in RAG</x:v>
      </x:c>
      <x:c r="F10" t="str"/>
    </x:row>
    <x:row r="11">
      <x:c r="A11" t="str"/>
      <x:c r="B11" t="str"/>
      <x:c r="C11" t="str"/>
      <x:c r="D11" t="str"/>
      <x:c r="E11" t="str">
        <x:v>Cross-Document Reasoning</x:v>
      </x:c>
      <x:c r="F11" t="str"/>
    </x:row>
  </x:sheetData>
  <x:pageMargins left="0.7" right="0.7" top="0.75" bottom="0.75" header="0.3" footer="0.3"/>
</x:worksheet>
</file>