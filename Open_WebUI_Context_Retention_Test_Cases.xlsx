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2" documentId="11_891296336B75A707C34EE5D5FA257D80856242DC" xr6:coauthVersionLast="47" xr6:coauthVersionMax="47" xr10:uidLastSave="{554ABF97-997B-430E-B381-F4D962F0B1EA}"/>
  <bookViews>
    <workbookView xWindow="0" yWindow="0" windowWidth="0" windowHeight="0" xr2:uid="{00000000-000D-0000-FFFF-FFFF00000000}"/>
  </bookViews>
  <sheets>
    <sheet name="Test Cases" sheetId="1" r:id="rId1"/>
    <sheet name="Summary" sheetId="2" r:id="rId2"/>
    <sheet name="AI Quality Criteria" sheetId="3" r:id="rId3"/>
    <sheet name="Scenario Mapping" sheetId="4" r:id="rId4"/>
    <sheet name="List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C14" i="2"/>
  <c r="E13" i="2"/>
  <c r="C13" i="2"/>
  <c r="E12" i="2"/>
  <c r="C12" i="2"/>
  <c r="E11" i="2"/>
  <c r="E10" i="2"/>
  <c r="E9" i="2"/>
  <c r="E8" i="2"/>
  <c r="B8" i="2"/>
  <c r="E7" i="2"/>
  <c r="B7" i="2"/>
  <c r="E6" i="2"/>
  <c r="B6" i="2"/>
  <c r="E5" i="2"/>
  <c r="B5" i="2"/>
  <c r="E4" i="2"/>
  <c r="B4" i="2"/>
</calcChain>
</file>

<file path=xl/sharedStrings.xml><?xml version="1.0" encoding="utf-8"?>
<sst xmlns="http://schemas.openxmlformats.org/spreadsheetml/2006/main" count="504" uniqueCount="260">
  <si>
    <t>Open WebUI - Context Retention Test Cases</t>
  </si>
  <si>
    <t>Enterprise Manual GenAI QA test cases for conversational memory, multi-turn continuity, context switching, and context loss handling.</t>
  </si>
  <si>
    <t>Test Case ID</t>
  </si>
  <si>
    <t>Related Scenario ID</t>
  </si>
  <si>
    <t>Context Testing Category</t>
  </si>
  <si>
    <t>Test Case Title</t>
  </si>
  <si>
    <t>Objective</t>
  </si>
  <si>
    <t>Preconditions</t>
  </si>
  <si>
    <t>Conversation Steps</t>
  </si>
  <si>
    <t>Expected Result</t>
  </si>
  <si>
    <t>Context Validation Criteria</t>
  </si>
  <si>
    <t>Context Preserved</t>
  </si>
  <si>
    <t>Correct Entity Referenced</t>
  </si>
  <si>
    <t>Instructions Retained</t>
  </si>
  <si>
    <t>Context Switching Successful</t>
  </si>
  <si>
    <t>No Hallucinated Context</t>
  </si>
  <si>
    <t>Clarification Requested When Needed</t>
  </si>
  <si>
    <t>Actual Result</t>
  </si>
  <si>
    <t>Status</t>
  </si>
  <si>
    <t>Priority</t>
  </si>
  <si>
    <t>Severity</t>
  </si>
  <si>
    <t>OWUI-CTX-TC-001</t>
  </si>
  <si>
    <t>OWUI-TS-036</t>
  </si>
  <si>
    <t>User Information Retention</t>
  </si>
  <si>
    <t>Validate retention of user name and role</t>
  </si>
  <si>
    <t>Verify that Open WebUI retains the user's name and QA role across follow-up prompts in the same conversation.</t>
  </si>
  <si>
    <t>User is logged in. New chat is available.</t>
  </si>
  <si>
    <t>1. User: My name is Rohan and I am a Senior QA Engineer.
2. User: Create a short introduction for me for a GenAI testing interview.
3. User: Now rewrite it in third person.</t>
  </si>
  <si>
    <t>AI should remember the user name as Rohan and role as Senior QA Engineer. The rewritten response should not change the name, role, or professional context.</t>
  </si>
  <si>
    <t>Context Preserved; Correct Entity Referenced; Instructions Retained; Context Switching Successful; No Hallucinated Context; Clarification Requested When Needed</t>
  </si>
  <si>
    <t>Not Executed</t>
  </si>
  <si>
    <t>High</t>
  </si>
  <si>
    <t>OWUI-CTX-TC-002</t>
  </si>
  <si>
    <t>Validate retention of department and location</t>
  </si>
  <si>
    <t>Verify that department and location details are retained during a business reporting conversation.</t>
  </si>
  <si>
    <t>User is logged in.</t>
  </si>
  <si>
    <t>1. User: I work in the QA department from the Bengaluru delivery center.
2. User: Prepare a weekly testing update.
3. User: Add my department and location in the header.</t>
  </si>
  <si>
    <t>AI should include QA department and Bengaluru delivery center accurately in the report header without inventing additional organization details.</t>
  </si>
  <si>
    <t>Medium</t>
  </si>
  <si>
    <t>OWUI-CTX-TC-003</t>
  </si>
  <si>
    <t>Validate retention of team information</t>
  </si>
  <si>
    <t>Verify that team information is remembered and used correctly in later prompts.</t>
  </si>
  <si>
    <t>1. User: My team has three members: Priya handles functional testing, Arjun handles security testing, and Meera handles RAG validation.
2. User: Create a responsibility matrix.
3. User: Now add a backup owner for each activity.</t>
  </si>
  <si>
    <t>AI should retain all three names and responsibilities correctly. Backup owners should be added without changing original owners or mixing responsibilities.</t>
  </si>
  <si>
    <t>OWUI-CTX-TC-004</t>
  </si>
  <si>
    <t>Project Information Retention</t>
  </si>
  <si>
    <t>Validate retention of project name and scope</t>
  </si>
  <si>
    <t>Verify that the AI remembers the project name and scope across dependent prompts.</t>
  </si>
  <si>
    <t>1. User: The project name is GenAI Manual Testing of Open WebUI.
2. User: The scope includes authentication, chat, file upload, RAG, hallucination, and security testing.
3. User: Create test objectives for this project.</t>
  </si>
  <si>
    <t>AI should use the correct project name and include objectives aligned to the provided scope. It should not add unrelated modules as confirmed scope.</t>
  </si>
  <si>
    <t>OWUI-CTX-TC-005</t>
  </si>
  <si>
    <t>Validate retention of project constraints</t>
  </si>
  <si>
    <t>Verify that previously stated project constraints are carried forward into later planning output.</t>
  </si>
  <si>
    <t>1. User: Testing is manual only. Automation and performance testing are out of scope.
2. User: Create a test strategy.
3. User: Add regression testing to the strategy without changing scope.</t>
  </si>
  <si>
    <t>AI should include manual regression testing but should not introduce automation or performance testing as in scope.</t>
  </si>
  <si>
    <t>OWUI-CTX-TC-006</t>
  </si>
  <si>
    <t>OWUI-TS-039</t>
  </si>
  <si>
    <t>Validate project information after topic switch</t>
  </si>
  <si>
    <t>Verify that project details are retained after switching to another topic and returning to the original project.</t>
  </si>
  <si>
    <t>1. User: Project Alpha is Open WebUI GenAI QA testing.
2. User: Create three risks for Project Alpha.
3. User: Now explain what RAG means.
4. User: Return to Project Alpha and add two RAG-specific risks.</t>
  </si>
  <si>
    <t>AI should correctly return to Project Alpha and add risks related to RAG without confusing the general RAG explanation with a different project.</t>
  </si>
  <si>
    <t>OWUI-CTX-TC-007</t>
  </si>
  <si>
    <t>OWUI-TS-037</t>
  </si>
  <si>
    <t>Preference Retention</t>
  </si>
  <si>
    <t>Validate response format preference retention</t>
  </si>
  <si>
    <t>Verify that the AI retains a table-format preference across multiple responses.</t>
  </si>
  <si>
    <t>1. User: For this conversation, provide QA outputs in table format.
2. User: Create five test scenarios for login.
3. User: Now create five test scenarios for file upload.</t>
  </si>
  <si>
    <t>AI should provide both login and file upload scenarios in table format without being reminded.</t>
  </si>
  <si>
    <t>OWUI-CTX-TC-008</t>
  </si>
  <si>
    <t>Validate tone preference retention</t>
  </si>
  <si>
    <t>Verify that the AI consistently applies a professional enterprise QA tone.</t>
  </si>
  <si>
    <t>1. User: Use a formal enterprise QA tone for all responses.
2. User: Write a defect summary.
3. User: Now write a risk summary.</t>
  </si>
  <si>
    <t>AI should maintain formal enterprise QA tone in both outputs and avoid casual or informal wording.</t>
  </si>
  <si>
    <t>OWUI-CTX-TC-009</t>
  </si>
  <si>
    <t>Validate language and structure preference</t>
  </si>
  <si>
    <t>Verify that language and reporting structure preferences are retained.</t>
  </si>
  <si>
    <t>1. User: Respond in English and use sections: Summary, Risks, Action Items.
2. User: Summarize today's test execution.
3. User: Now summarize defect triage.</t>
  </si>
  <si>
    <t>AI should respond in English and use the same three sections for both outputs.</t>
  </si>
  <si>
    <t>OWUI-CTX-TC-010</t>
  </si>
  <si>
    <t>Multi-Turn Conversations</t>
  </si>
  <si>
    <t>Validate dependent follow-up questions</t>
  </si>
  <si>
    <t>Verify that AI correctly answers follow-up questions that depend on earlier QA context.</t>
  </si>
  <si>
    <t>1. User: Create a test plan for Open WebUI authentication.
2. User: Add negative scenarios.
3. User: Now convert only those negative scenarios into test cases.</t>
  </si>
  <si>
    <t>AI should understand that those negative scenarios refers to the previously added negative authentication scenarios.</t>
  </si>
  <si>
    <t>OWUI-CTX-TC-011</t>
  </si>
  <si>
    <t>Validate progressive defect refinement</t>
  </si>
  <si>
    <t>Verify that AI builds on defect information progressively across turns.</t>
  </si>
  <si>
    <t>1. User: Defect: PDF upload fails for files above 20 MB.
2. User: Add severity and priority.
3. User: Now write reproduction steps.
4. User: Add expected and actual results.</t>
  </si>
  <si>
    <t>AI should retain the original defect and produce consistent severity, priority, steps, expected result, and actual result for the same defect.</t>
  </si>
  <si>
    <t>OWUI-CTX-TC-012</t>
  </si>
  <si>
    <t>Validate iterative RAG testing discussion</t>
  </si>
  <si>
    <t>Verify that AI maintains context while refining RAG test coverage.</t>
  </si>
  <si>
    <t>1. User: Create RAG test scenarios for source grounding.
2. User: Add citation validation.
3. User: Now add missing document information scenarios.
4. User: Combine everything into a final checklist.</t>
  </si>
  <si>
    <t>AI should combine only the discussed RAG areas: source grounding, citation validation, and missing document information.</t>
  </si>
  <si>
    <t>OWUI-CTX-TC-013</t>
  </si>
  <si>
    <t>OWUI-TS-038</t>
  </si>
  <si>
    <t>Long Conversation Testing</t>
  </si>
  <si>
    <t>Validate 10-turn conversation retention</t>
  </si>
  <si>
    <t>Verify that AI retains critical QA project information across a 10-turn conversation.</t>
  </si>
  <si>
    <t>Turns 1-3: Define Open WebUI QA project, modules, and test scope.
Turns 4-6: Add defect tracking, risks, and test data.
Turns 7-9: Ask for test execution plan, metrics, and summary.
Turn 10: Ask: Summarize everything agreed so far.</t>
  </si>
  <si>
    <t>AI should summarize all key agreed details from the 10-turn conversation accurately without omitting critical scope or adding unsupported information.</t>
  </si>
  <si>
    <t>OWUI-CTX-TC-014</t>
  </si>
  <si>
    <t>Validate 20-turn defect triage context</t>
  </si>
  <si>
    <t>Verify that AI tracks multiple defects and decisions across a long conversation.</t>
  </si>
  <si>
    <t>Turns 1-5: Provide five defects.
Turns 6-10: Assign severity and owners.
Turns 11-15: Update fix status and retest notes.
Turns 16-19: Ask for release risk view.
Turn 20: Ask for final defect triage summary.</t>
  </si>
  <si>
    <t>AI should correctly retain defects, owners, severity, fix status, and retest outcomes without mixing defect details.</t>
  </si>
  <si>
    <t>OWUI-CTX-TC-015</t>
  </si>
  <si>
    <t>Validate 30-turn release readiness discussion</t>
  </si>
  <si>
    <t>Verify that AI maintains release readiness context across an extended QA discussion.</t>
  </si>
  <si>
    <t>Turns 1-10: Discuss test scope and execution.
Turns 11-20: Discuss defects, hallucination findings, and security findings.
Turns 21-29: Discuss exit criteria and risk acceptance.
Turn 30: Ask: Provide final release recommendation.</t>
  </si>
  <si>
    <t>AI should provide a release recommendation based on the full conversation and should not ignore critical open risks or invent sign-off decisions.</t>
  </si>
  <si>
    <t>Critical</t>
  </si>
  <si>
    <t>OWUI-CTX-TC-016</t>
  </si>
  <si>
    <t>Context Switching</t>
  </si>
  <si>
    <t>Validate Topic A to Topic B to Topic A switching</t>
  </si>
  <si>
    <t>Verify that AI can switch topics and return to the original context accurately.</t>
  </si>
  <si>
    <t>1. User: Topic A is Open WebUI login testing.
2. User: Create three login risks.
3. User: Topic B is document Q&amp;A testing. Create three risks.
4. User: Return to Topic A and add mitigation.</t>
  </si>
  <si>
    <t>AI should return to login testing and add mitigations for login risks only, without mixing document Q&amp;A risks.</t>
  </si>
  <si>
    <t>OWUI-CTX-TC-017</t>
  </si>
  <si>
    <t>Validate multiple active topics</t>
  </si>
  <si>
    <t>Verify that AI tracks multiple active QA topics independently.</t>
  </si>
  <si>
    <t>1. User: Track two topics: Authentication defects and RAG hallucination defects.
2. User gives two defects for each topic.
3. User asks: Summarize only RAG hallucination defects.
4. User asks: Now summarize only Authentication defects.</t>
  </si>
  <si>
    <t>AI should separate the two topics and summarize only the requested topic each time.</t>
  </si>
  <si>
    <t>OWUI-CTX-TC-018</t>
  </si>
  <si>
    <t>Validate requirement switching</t>
  </si>
  <si>
    <t>Verify that AI adapts when the user changes reporting requirements mid-conversation.</t>
  </si>
  <si>
    <t>1. User: Create test cases in detailed format.
2. User: Now switch to compact checklist format for the next output only.
3. User: Create security test cases.
4. User: Return to detailed format.</t>
  </si>
  <si>
    <t>AI should use compact checklist only for the specified output and return to detailed format afterward.</t>
  </si>
  <si>
    <t>OWUI-CTX-TC-019</t>
  </si>
  <si>
    <t>Context Recovery</t>
  </si>
  <si>
    <t>Validate continuation from earlier conversation</t>
  </si>
  <si>
    <t>Verify that AI can continue from previously provided context within the active chat.</t>
  </si>
  <si>
    <t>1. User defines a test plan with modules and risks.
2. User asks unrelated question about markdown formatting.
3. User says: Continue from the earlier test plan and add exit criteria.</t>
  </si>
  <si>
    <t>AI should recover the earlier test plan context and add exit criteria aligned to previously defined modules and risks.</t>
  </si>
  <si>
    <t>OWUI-CTX-TC-020</t>
  </si>
  <si>
    <t>Validate context recovery after reopening saved chat</t>
  </si>
  <si>
    <t>Verify that the AI can use prior context after a saved conversation is reopened, if application supports it.</t>
  </si>
  <si>
    <t>User is logged in. Conversation history is enabled.</t>
  </si>
  <si>
    <t>1. Create a chat defining project name, scope, and output format.
2. Save or leave chat.
3. Reopen the same chat from history.
4. Ask: Use the same project and create test metrics.</t>
  </si>
  <si>
    <t>AI should use the previously defined project and format from the reopened conversation, if history context is restored. If not supported, AI should request clarification.</t>
  </si>
  <si>
    <t>OWUI-CTX-TC-021</t>
  </si>
  <si>
    <t>OWUI-TS-040</t>
  </si>
  <si>
    <t>Validate recovery after failed response</t>
  </si>
  <si>
    <t>Verify that AI does not lose conversation context after response failure or regeneration.</t>
  </si>
  <si>
    <t>User is logged in. Application supports retry/regenerate.</t>
  </si>
  <si>
    <t>1. User defines defect details for file upload failure.
2. Trigger model timeout or response error if possible.
3. Retry or regenerate.
4. Ask: Now complete the defect report using the same details.</t>
  </si>
  <si>
    <t>AI should use the same defect details after retry. If context was lost, it should ask the user to provide the missing details again instead of guessing.</t>
  </si>
  <si>
    <t>OWUI-CTX-TC-022</t>
  </si>
  <si>
    <t>Multiple Entity Tracking</t>
  </si>
  <si>
    <t>Validate tracking of multiple people</t>
  </si>
  <si>
    <t>Verify that AI does not mix up responsibilities assigned to multiple team members.</t>
  </si>
  <si>
    <t>1. User: Priya owns login testing, Arjun owns security testing, Meera owns RAG testing.
2. User: Create an owner-wise status report.
3. User: Add pending risks for Arjun only.</t>
  </si>
  <si>
    <t>AI should add pending risks only under Arjun and security testing. It should not assign those risks to Priya or Meera.</t>
  </si>
  <si>
    <t>OWUI-CTX-TC-023</t>
  </si>
  <si>
    <t>Validate tracking of multiple projects</t>
  </si>
  <si>
    <t>Verify that AI maintains separate context for multiple QA projects.</t>
  </si>
  <si>
    <t>1. User: Project Atlas is Open WebUI authentication testing. Project Nova is RAG hallucination testing.
2. User: Create risks for both.
3. User: Now create exit criteria only for Project Nova.</t>
  </si>
  <si>
    <t>AI should generate exit criteria only for Project Nova and should focus on RAG hallucination testing.</t>
  </si>
  <si>
    <t>OWUI-CTX-TC-024</t>
  </si>
  <si>
    <t>Validate tracking of multiple dates and documents</t>
  </si>
  <si>
    <t>Verify that AI tracks multiple dates and document references accurately.</t>
  </si>
  <si>
    <t>1. User: HR Policy v1 was uploaded on 05-Jul. Security Policy v2 was uploaded on 06-Jul.
2. User: Create test notes for both.
3. User: Which document was uploaded on 06-Jul and what should be tested?</t>
  </si>
  <si>
    <t>AI should identify Security Policy v2 as the document uploaded on 06-Jul and provide relevant test focus without mixing it with HR Policy v1.</t>
  </si>
  <si>
    <t>OWUI-CTX-TC-025</t>
  </si>
  <si>
    <t>Instruction Carry-Forward</t>
  </si>
  <si>
    <t>Validate previously defined test case format</t>
  </si>
  <si>
    <t>Verify that the AI continues using a previously defined test case template.</t>
  </si>
  <si>
    <t>1. User: Use this format: Test Case ID, Objective, Preconditions, Steps, Expected Result, Priority.
2. User: Create login test cases.
3. User: Now create file upload test cases.</t>
  </si>
  <si>
    <t>AI should use the same template for both login and file upload test cases.</t>
  </si>
  <si>
    <t>OWUI-CTX-TC-026</t>
  </si>
  <si>
    <t>Validate document-only answer constraint</t>
  </si>
  <si>
    <t>Verify that AI retains an instruction to answer only from provided document content.</t>
  </si>
  <si>
    <t>User is logged in. Document Q&amp;A mode is available.</t>
  </si>
  <si>
    <t>1. User uploads a policy document.
2. User: For all questions, answer only from this document.
3. User asks a document-supported question.
4. User asks a question not present in the document.</t>
  </si>
  <si>
    <t>AI should answer the supported question from the document and state that the unsupported answer is not available in the document. It should not use outside knowledge.</t>
  </si>
  <si>
    <t>OWUI-CTX-TC-027</t>
  </si>
  <si>
    <t>Validate carry-forward of reporting goal</t>
  </si>
  <si>
    <t>Verify that AI remembers the reporting goal across multiple task outputs.</t>
  </si>
  <si>
    <t>1. User: The goal is to prepare a QA portfolio-ready Open WebUI testing report.
2. User: Create test scenarios.
3. User: Now create test metrics.
4. User: Write the final summary aligned to the same goal.</t>
  </si>
  <si>
    <t>AI should align the final summary to a QA portfolio-ready report and should not shift to unrelated product documentation or development notes.</t>
  </si>
  <si>
    <t>OWUI-CTX-TC-028</t>
  </si>
  <si>
    <t>Context Loss Handling</t>
  </si>
  <si>
    <t>Validate ambiguous reference handling</t>
  </si>
  <si>
    <t>Verify that AI asks clarification when a reference is ambiguous.</t>
  </si>
  <si>
    <t>1. User discusses two defects: login timeout and PDF upload failure.
2. User asks: What should we do about it?</t>
  </si>
  <si>
    <t>AI should ask which defect 'it' refers to or clearly state both possible interpretations. It should not assume one defect without basis.</t>
  </si>
  <si>
    <t>OWUI-CTX-TC-029</t>
  </si>
  <si>
    <t>Validate exceeded context window handling</t>
  </si>
  <si>
    <t>Verify that AI does not hallucinate when earlier context may no longer be available.</t>
  </si>
  <si>
    <t>User is logged in. Long conversation is active.</t>
  </si>
  <si>
    <t>1. Conduct extended conversation with many unrelated turns.
2. Ask: Use the first requirement I gave and create test cases.</t>
  </si>
  <si>
    <t>If the first requirement is unavailable, AI should ask the user to restate it. It should not invent or guess the first requirement.</t>
  </si>
  <si>
    <t>OWUI-CTX-TC-030</t>
  </si>
  <si>
    <t>Validate new chat has no prior context</t>
  </si>
  <si>
    <t>Verify that AI does not use context from a previous chat when a new chat starts.</t>
  </si>
  <si>
    <t>User is logged in. At least one previous chat exists.</t>
  </si>
  <si>
    <t>1. In Chat A, define project name as Open WebUI GenAI QA.
2. Start a new Chat B.
3. Ask: Create risks for the project I mentioned earlier.</t>
  </si>
  <si>
    <t>AI should not assume access to previous chat context unless the application intentionally loads it. It should ask which project the user means.</t>
  </si>
  <si>
    <t>Context Retention Testing Summary</t>
  </si>
  <si>
    <t>Metric</t>
  </si>
  <si>
    <t>Value</t>
  </si>
  <si>
    <t>Count</t>
  </si>
  <si>
    <t>Total Test Cases</t>
  </si>
  <si>
    <t>High Priority</t>
  </si>
  <si>
    <t>Critical Severity</t>
  </si>
  <si>
    <t>High Severity</t>
  </si>
  <si>
    <t>Scenario ID</t>
  </si>
  <si>
    <t>Scenario Name</t>
  </si>
  <si>
    <t>Validate Multi-turn Conversation Continuity</t>
  </si>
  <si>
    <t>Validate User Preference Retention Within Conversation</t>
  </si>
  <si>
    <t>Validate Long Conversation Context Retention</t>
  </si>
  <si>
    <t>Validate Context Switching Between Topics</t>
  </si>
  <si>
    <t>Validate Context Loss Handling</t>
  </si>
  <si>
    <t>AI Quality and Context Validation Criteria</t>
  </si>
  <si>
    <t>Criterion</t>
  </si>
  <si>
    <t>Validation Question</t>
  </si>
  <si>
    <t>Expected Evaluation</t>
  </si>
  <si>
    <t>Failure Indicator</t>
  </si>
  <si>
    <t>Did the AI retain relevant prior conversation details?</t>
  </si>
  <si>
    <t>Yes, when context is available in the same conversation or restored saved chat.</t>
  </si>
  <si>
    <t>Important prior facts are omitted, changed, or ignored.</t>
  </si>
  <si>
    <t>Did the AI refer to the correct person, project, date, requirement, or document?</t>
  </si>
  <si>
    <t>Yes, entity references remain accurate across turns.</t>
  </si>
  <si>
    <t>Names, projects, dates, documents, or owners are mixed up.</t>
  </si>
  <si>
    <t>Did the AI continue following previous user instructions and output constraints?</t>
  </si>
  <si>
    <t>Yes, previously defined format, scope, tone, and constraints are followed.</t>
  </si>
  <si>
    <t>AI ignores format, changes scope, or violates previous constraints.</t>
  </si>
  <si>
    <t>Did the AI switch topics and return to prior topics without confusion?</t>
  </si>
  <si>
    <t>Yes, active topics remain separated and can be resumed.</t>
  </si>
  <si>
    <t>Details from Topic A are mixed into Topic B or vice versa.</t>
  </si>
  <si>
    <t>Did the AI avoid inventing details not supplied earlier?</t>
  </si>
  <si>
    <t>Yes, response stays grounded in provided conversation details.</t>
  </si>
  <si>
    <t>AI fabricates prior instructions, names, decisions, or requirements.</t>
  </si>
  <si>
    <t>Did the AI ask for clarification when context was missing, ambiguous, or unavailable?</t>
  </si>
  <si>
    <t>Yes, ambiguous references trigger clarification or clearly stated assumptions.</t>
  </si>
  <si>
    <t>AI guesses missing context instead of asking for clarification.</t>
  </si>
  <si>
    <t>Scenario Mapping</t>
  </si>
  <si>
    <t>Focus Area</t>
  </si>
  <si>
    <t>Covered Test Cases</t>
  </si>
  <si>
    <t>Multi-turn continuity and context recovery</t>
  </si>
  <si>
    <t>OWUI-CTX-TC-001 to 005, 010 to 012, 019 to 020</t>
  </si>
  <si>
    <t>Preference retention and instruction carry-forward</t>
  </si>
  <si>
    <t>OWUI-CTX-TC-007 to 009, 025 to 027</t>
  </si>
  <si>
    <t>10-turn, 20-turn, and 30-turn long conversation testing</t>
  </si>
  <si>
    <t>OWUI-CTX-TC-013 to 015</t>
  </si>
  <si>
    <t>Topic switching, requirement switching, multiple entities</t>
  </si>
  <si>
    <t>OWUI-CTX-TC-006, 016 to 018, 022 to 024</t>
  </si>
  <si>
    <t>Context unavailable, ambiguous references, new chat isolation</t>
  </si>
  <si>
    <t>OWUI-CTX-TC-021, 028 to 030</t>
  </si>
  <si>
    <t>YesNoNA</t>
  </si>
  <si>
    <t>Scenario IDs</t>
  </si>
  <si>
    <t>Categories</t>
  </si>
  <si>
    <t>Yes</t>
  </si>
  <si>
    <t>Pass</t>
  </si>
  <si>
    <t>No</t>
  </si>
  <si>
    <t>Fail</t>
  </si>
  <si>
    <t>Low</t>
  </si>
  <si>
    <t>N/A</t>
  </si>
  <si>
    <t>Blocked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</si>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</sst>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/>
    </xf>
    <xf numFmtId="0" fontId="0" fillId="5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5"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xtRetentionTestCases" displayName="ContextRetentionTestCases" ref="A4:S34">
  <tableColumns count="19">
    <tableColumn id="1" xr3:uid="{00000000-0010-0000-0000-000001000000}" name="Test Case ID"/>
    <tableColumn id="2" xr3:uid="{00000000-0010-0000-0000-000002000000}" name="Related Scenario ID"/>
    <tableColumn id="3" xr3:uid="{00000000-0010-0000-0000-000003000000}" name="Context Testing Category"/>
    <tableColumn id="4" xr3:uid="{00000000-0010-0000-0000-000004000000}" name="Test Case Title"/>
    <tableColumn id="5" xr3:uid="{00000000-0010-0000-0000-000005000000}" name="Objective"/>
    <tableColumn id="6" xr3:uid="{00000000-0010-0000-0000-000006000000}" name="Preconditions"/>
    <tableColumn id="7" xr3:uid="{00000000-0010-0000-0000-000007000000}" name="Conversation Steps"/>
    <tableColumn id="8" xr3:uid="{00000000-0010-0000-0000-000008000000}" name="Expected Result"/>
    <tableColumn id="9" xr3:uid="{00000000-0010-0000-0000-000009000000}" name="Context Validation Criteria"/>
    <tableColumn id="10" xr3:uid="{00000000-0010-0000-0000-00000A000000}" name="Context Preserved"/>
    <tableColumn id="11" xr3:uid="{00000000-0010-0000-0000-00000B000000}" name="Correct Entity Referenced"/>
    <tableColumn id="12" xr3:uid="{00000000-0010-0000-0000-00000C000000}" name="Instructions Retained"/>
    <tableColumn id="13" xr3:uid="{00000000-0010-0000-0000-00000D000000}" name="Context Switching Successful"/>
    <tableColumn id="14" xr3:uid="{00000000-0010-0000-0000-00000E000000}" name="No Hallucinated Context"/>
    <tableColumn id="15" xr3:uid="{00000000-0010-0000-0000-00000F000000}" name="Clarification Requested When Needed"/>
    <tableColumn id="16" xr3:uid="{00000000-0010-0000-0000-000010000000}" name="Actual Result"/>
    <tableColumn id="17" xr3:uid="{00000000-0010-0000-0000-000011000000}" name="Status"/>
    <tableColumn id="18" xr3:uid="{00000000-0010-0000-0000-000012000000}" name="Priority"/>
    <tableColumn id="19" xr3:uid="{00000000-0010-0000-0000-000013000000}" name="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topLeftCell="A35" zoomScaleNormal="100" zoomScaleSheetLayoutView="100" workbookViewId="0"/>
  </sheetViews>
  <sheetFormatPr defaultRowHeight="15"/>
  <cols>
    <col min="1" max="2" width="18" customWidth="1"/>
    <col min="3" max="3" width="26" customWidth="1"/>
    <col min="4" max="4" width="34" customWidth="1"/>
    <col min="5" max="5" width="42" customWidth="1"/>
    <col min="6" max="6" width="34" customWidth="1"/>
    <col min="7" max="7" width="52" customWidth="1"/>
    <col min="8" max="8" width="54" customWidth="1"/>
    <col min="9" max="9" width="46" customWidth="1"/>
    <col min="10" max="10" width="16" customWidth="1"/>
    <col min="11" max="11" width="20" customWidth="1"/>
    <col min="12" max="12" width="18" customWidth="1"/>
    <col min="13" max="14" width="22" customWidth="1"/>
    <col min="15" max="15" width="28" customWidth="1"/>
    <col min="16" max="16" width="34" customWidth="1"/>
    <col min="17" max="17" width="16" customWidth="1"/>
    <col min="18" max="19" width="14" customWidth="1"/>
  </cols>
  <sheetData>
    <row r="1" spans="1:19" ht="27.95" customHeight="1">
      <c r="A1" s="6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>
      <c r="A2" s="7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spans="1:19" ht="4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ht="48" customHeight="1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/>
      <c r="K5" s="3"/>
      <c r="L5" s="3"/>
      <c r="M5" s="3"/>
      <c r="N5" s="3"/>
      <c r="O5" s="3"/>
      <c r="P5" s="3"/>
      <c r="Q5" s="3" t="s">
        <v>30</v>
      </c>
      <c r="R5" s="3" t="s">
        <v>31</v>
      </c>
      <c r="S5" s="3" t="s">
        <v>31</v>
      </c>
    </row>
    <row r="6" spans="1:19" ht="48" customHeight="1">
      <c r="A6" s="3" t="s">
        <v>32</v>
      </c>
      <c r="B6" s="3" t="s">
        <v>22</v>
      </c>
      <c r="C6" s="3" t="s">
        <v>23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29</v>
      </c>
      <c r="J6" s="3"/>
      <c r="K6" s="3"/>
      <c r="L6" s="3"/>
      <c r="M6" s="3"/>
      <c r="N6" s="3"/>
      <c r="O6" s="3"/>
      <c r="P6" s="3"/>
      <c r="Q6" s="3" t="s">
        <v>30</v>
      </c>
      <c r="R6" s="3" t="s">
        <v>31</v>
      </c>
      <c r="S6" s="3" t="s">
        <v>38</v>
      </c>
    </row>
    <row r="7" spans="1:19" ht="48" customHeight="1">
      <c r="A7" s="3" t="s">
        <v>39</v>
      </c>
      <c r="B7" s="3" t="s">
        <v>22</v>
      </c>
      <c r="C7" s="3" t="s">
        <v>23</v>
      </c>
      <c r="D7" s="3" t="s">
        <v>40</v>
      </c>
      <c r="E7" s="3" t="s">
        <v>41</v>
      </c>
      <c r="F7" s="3" t="s">
        <v>35</v>
      </c>
      <c r="G7" s="3" t="s">
        <v>42</v>
      </c>
      <c r="H7" s="3" t="s">
        <v>43</v>
      </c>
      <c r="I7" s="3" t="s">
        <v>29</v>
      </c>
      <c r="J7" s="3"/>
      <c r="K7" s="3"/>
      <c r="L7" s="3"/>
      <c r="M7" s="3"/>
      <c r="N7" s="3"/>
      <c r="O7" s="3"/>
      <c r="P7" s="3"/>
      <c r="Q7" s="3" t="s">
        <v>30</v>
      </c>
      <c r="R7" s="3" t="s">
        <v>31</v>
      </c>
      <c r="S7" s="3" t="s">
        <v>31</v>
      </c>
    </row>
    <row r="8" spans="1:19" ht="48" customHeight="1">
      <c r="A8" s="3" t="s">
        <v>44</v>
      </c>
      <c r="B8" s="3" t="s">
        <v>22</v>
      </c>
      <c r="C8" s="3" t="s">
        <v>45</v>
      </c>
      <c r="D8" s="3" t="s">
        <v>46</v>
      </c>
      <c r="E8" s="3" t="s">
        <v>47</v>
      </c>
      <c r="F8" s="3" t="s">
        <v>35</v>
      </c>
      <c r="G8" s="3" t="s">
        <v>48</v>
      </c>
      <c r="H8" s="3" t="s">
        <v>49</v>
      </c>
      <c r="I8" s="3" t="s">
        <v>29</v>
      </c>
      <c r="J8" s="3"/>
      <c r="K8" s="3"/>
      <c r="L8" s="3"/>
      <c r="M8" s="3"/>
      <c r="N8" s="3"/>
      <c r="O8" s="3"/>
      <c r="P8" s="3"/>
      <c r="Q8" s="3" t="s">
        <v>30</v>
      </c>
      <c r="R8" s="3" t="s">
        <v>31</v>
      </c>
      <c r="S8" s="3" t="s">
        <v>31</v>
      </c>
    </row>
    <row r="9" spans="1:19" ht="48" customHeight="1">
      <c r="A9" s="3" t="s">
        <v>50</v>
      </c>
      <c r="B9" s="3" t="s">
        <v>22</v>
      </c>
      <c r="C9" s="3" t="s">
        <v>45</v>
      </c>
      <c r="D9" s="3" t="s">
        <v>51</v>
      </c>
      <c r="E9" s="3" t="s">
        <v>52</v>
      </c>
      <c r="F9" s="3" t="s">
        <v>35</v>
      </c>
      <c r="G9" s="3" t="s">
        <v>53</v>
      </c>
      <c r="H9" s="3" t="s">
        <v>54</v>
      </c>
      <c r="I9" s="3" t="s">
        <v>29</v>
      </c>
      <c r="J9" s="3"/>
      <c r="K9" s="3"/>
      <c r="L9" s="3"/>
      <c r="M9" s="3"/>
      <c r="N9" s="3"/>
      <c r="O9" s="3"/>
      <c r="P9" s="3"/>
      <c r="Q9" s="3" t="s">
        <v>30</v>
      </c>
      <c r="R9" s="3" t="s">
        <v>31</v>
      </c>
      <c r="S9" s="3" t="s">
        <v>31</v>
      </c>
    </row>
    <row r="10" spans="1:19" ht="48" customHeight="1">
      <c r="A10" s="3" t="s">
        <v>55</v>
      </c>
      <c r="B10" s="3" t="s">
        <v>56</v>
      </c>
      <c r="C10" s="3" t="s">
        <v>45</v>
      </c>
      <c r="D10" s="3" t="s">
        <v>57</v>
      </c>
      <c r="E10" s="3" t="s">
        <v>58</v>
      </c>
      <c r="F10" s="3" t="s">
        <v>35</v>
      </c>
      <c r="G10" s="3" t="s">
        <v>59</v>
      </c>
      <c r="H10" s="3" t="s">
        <v>60</v>
      </c>
      <c r="I10" s="3" t="s">
        <v>29</v>
      </c>
      <c r="J10" s="3"/>
      <c r="K10" s="3"/>
      <c r="L10" s="3"/>
      <c r="M10" s="3"/>
      <c r="N10" s="3"/>
      <c r="O10" s="3"/>
      <c r="P10" s="3"/>
      <c r="Q10" s="3" t="s">
        <v>30</v>
      </c>
      <c r="R10" s="3" t="s">
        <v>31</v>
      </c>
      <c r="S10" s="3" t="s">
        <v>31</v>
      </c>
    </row>
    <row r="11" spans="1:19" ht="48" customHeight="1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35</v>
      </c>
      <c r="G11" s="3" t="s">
        <v>66</v>
      </c>
      <c r="H11" s="3" t="s">
        <v>67</v>
      </c>
      <c r="I11" s="3" t="s">
        <v>29</v>
      </c>
      <c r="J11" s="3"/>
      <c r="K11" s="3"/>
      <c r="L11" s="3"/>
      <c r="M11" s="3"/>
      <c r="N11" s="3"/>
      <c r="O11" s="3"/>
      <c r="P11" s="3"/>
      <c r="Q11" s="3" t="s">
        <v>30</v>
      </c>
      <c r="R11" s="3" t="s">
        <v>31</v>
      </c>
      <c r="S11" s="3" t="s">
        <v>38</v>
      </c>
    </row>
    <row r="12" spans="1:19" ht="48" customHeight="1">
      <c r="A12" s="3" t="s">
        <v>68</v>
      </c>
      <c r="B12" s="3" t="s">
        <v>62</v>
      </c>
      <c r="C12" s="3" t="s">
        <v>63</v>
      </c>
      <c r="D12" s="3" t="s">
        <v>69</v>
      </c>
      <c r="E12" s="3" t="s">
        <v>70</v>
      </c>
      <c r="F12" s="3" t="s">
        <v>35</v>
      </c>
      <c r="G12" s="3" t="s">
        <v>71</v>
      </c>
      <c r="H12" s="3" t="s">
        <v>72</v>
      </c>
      <c r="I12" s="3" t="s">
        <v>29</v>
      </c>
      <c r="J12" s="3"/>
      <c r="K12" s="3"/>
      <c r="L12" s="3"/>
      <c r="M12" s="3"/>
      <c r="N12" s="3"/>
      <c r="O12" s="3"/>
      <c r="P12" s="3"/>
      <c r="Q12" s="3" t="s">
        <v>30</v>
      </c>
      <c r="R12" s="3" t="s">
        <v>38</v>
      </c>
      <c r="S12" s="3" t="s">
        <v>38</v>
      </c>
    </row>
    <row r="13" spans="1:19" ht="48" customHeight="1">
      <c r="A13" s="3" t="s">
        <v>73</v>
      </c>
      <c r="B13" s="3" t="s">
        <v>62</v>
      </c>
      <c r="C13" s="3" t="s">
        <v>63</v>
      </c>
      <c r="D13" s="3" t="s">
        <v>74</v>
      </c>
      <c r="E13" s="3" t="s">
        <v>75</v>
      </c>
      <c r="F13" s="3" t="s">
        <v>35</v>
      </c>
      <c r="G13" s="3" t="s">
        <v>76</v>
      </c>
      <c r="H13" s="3" t="s">
        <v>77</v>
      </c>
      <c r="I13" s="3" t="s">
        <v>29</v>
      </c>
      <c r="J13" s="3"/>
      <c r="K13" s="3"/>
      <c r="L13" s="3"/>
      <c r="M13" s="3"/>
      <c r="N13" s="3"/>
      <c r="O13" s="3"/>
      <c r="P13" s="3"/>
      <c r="Q13" s="3" t="s">
        <v>30</v>
      </c>
      <c r="R13" s="3" t="s">
        <v>38</v>
      </c>
      <c r="S13" s="3" t="s">
        <v>38</v>
      </c>
    </row>
    <row r="14" spans="1:19" ht="48" customHeight="1">
      <c r="A14" s="3" t="s">
        <v>78</v>
      </c>
      <c r="B14" s="3" t="s">
        <v>22</v>
      </c>
      <c r="C14" s="3" t="s">
        <v>79</v>
      </c>
      <c r="D14" s="3" t="s">
        <v>80</v>
      </c>
      <c r="E14" s="3" t="s">
        <v>81</v>
      </c>
      <c r="F14" s="3" t="s">
        <v>35</v>
      </c>
      <c r="G14" s="3" t="s">
        <v>82</v>
      </c>
      <c r="H14" s="3" t="s">
        <v>83</v>
      </c>
      <c r="I14" s="3" t="s">
        <v>29</v>
      </c>
      <c r="J14" s="3"/>
      <c r="K14" s="3"/>
      <c r="L14" s="3"/>
      <c r="M14" s="3"/>
      <c r="N14" s="3"/>
      <c r="O14" s="3"/>
      <c r="P14" s="3"/>
      <c r="Q14" s="3" t="s">
        <v>30</v>
      </c>
      <c r="R14" s="3" t="s">
        <v>31</v>
      </c>
      <c r="S14" s="3" t="s">
        <v>31</v>
      </c>
    </row>
    <row r="15" spans="1:19" ht="48" customHeight="1">
      <c r="A15" s="3" t="s">
        <v>84</v>
      </c>
      <c r="B15" s="3" t="s">
        <v>22</v>
      </c>
      <c r="C15" s="3" t="s">
        <v>79</v>
      </c>
      <c r="D15" s="3" t="s">
        <v>85</v>
      </c>
      <c r="E15" s="3" t="s">
        <v>86</v>
      </c>
      <c r="F15" s="3" t="s">
        <v>35</v>
      </c>
      <c r="G15" s="3" t="s">
        <v>87</v>
      </c>
      <c r="H15" s="3" t="s">
        <v>88</v>
      </c>
      <c r="I15" s="3" t="s">
        <v>29</v>
      </c>
      <c r="J15" s="3"/>
      <c r="K15" s="3"/>
      <c r="L15" s="3"/>
      <c r="M15" s="3"/>
      <c r="N15" s="3"/>
      <c r="O15" s="3"/>
      <c r="P15" s="3"/>
      <c r="Q15" s="3" t="s">
        <v>30</v>
      </c>
      <c r="R15" s="3" t="s">
        <v>31</v>
      </c>
      <c r="S15" s="3" t="s">
        <v>31</v>
      </c>
    </row>
    <row r="16" spans="1:19" ht="48" customHeight="1">
      <c r="A16" s="3" t="s">
        <v>89</v>
      </c>
      <c r="B16" s="3" t="s">
        <v>22</v>
      </c>
      <c r="C16" s="3" t="s">
        <v>79</v>
      </c>
      <c r="D16" s="3" t="s">
        <v>90</v>
      </c>
      <c r="E16" s="3" t="s">
        <v>91</v>
      </c>
      <c r="F16" s="3" t="s">
        <v>35</v>
      </c>
      <c r="G16" s="3" t="s">
        <v>92</v>
      </c>
      <c r="H16" s="3" t="s">
        <v>93</v>
      </c>
      <c r="I16" s="3" t="s">
        <v>29</v>
      </c>
      <c r="J16" s="3"/>
      <c r="K16" s="3"/>
      <c r="L16" s="3"/>
      <c r="M16" s="3"/>
      <c r="N16" s="3"/>
      <c r="O16" s="3"/>
      <c r="P16" s="3"/>
      <c r="Q16" s="3" t="s">
        <v>30</v>
      </c>
      <c r="R16" s="3" t="s">
        <v>31</v>
      </c>
      <c r="S16" s="3" t="s">
        <v>31</v>
      </c>
    </row>
    <row r="17" spans="1:19" ht="48" customHeight="1">
      <c r="A17" s="3" t="s">
        <v>94</v>
      </c>
      <c r="B17" s="3" t="s">
        <v>95</v>
      </c>
      <c r="C17" s="3" t="s">
        <v>96</v>
      </c>
      <c r="D17" s="3" t="s">
        <v>97</v>
      </c>
      <c r="E17" s="3" t="s">
        <v>98</v>
      </c>
      <c r="F17" s="3" t="s">
        <v>35</v>
      </c>
      <c r="G17" s="3" t="s">
        <v>99</v>
      </c>
      <c r="H17" s="3" t="s">
        <v>100</v>
      </c>
      <c r="I17" s="3" t="s">
        <v>29</v>
      </c>
      <c r="J17" s="3"/>
      <c r="K17" s="3"/>
      <c r="L17" s="3"/>
      <c r="M17" s="3"/>
      <c r="N17" s="3"/>
      <c r="O17" s="3"/>
      <c r="P17" s="3"/>
      <c r="Q17" s="3" t="s">
        <v>30</v>
      </c>
      <c r="R17" s="3" t="s">
        <v>31</v>
      </c>
      <c r="S17" s="3" t="s">
        <v>31</v>
      </c>
    </row>
    <row r="18" spans="1:19" ht="48" customHeight="1">
      <c r="A18" s="3" t="s">
        <v>101</v>
      </c>
      <c r="B18" s="3" t="s">
        <v>95</v>
      </c>
      <c r="C18" s="3" t="s">
        <v>96</v>
      </c>
      <c r="D18" s="3" t="s">
        <v>102</v>
      </c>
      <c r="E18" s="3" t="s">
        <v>103</v>
      </c>
      <c r="F18" s="3" t="s">
        <v>35</v>
      </c>
      <c r="G18" s="3" t="s">
        <v>104</v>
      </c>
      <c r="H18" s="3" t="s">
        <v>105</v>
      </c>
      <c r="I18" s="3" t="s">
        <v>29</v>
      </c>
      <c r="J18" s="3"/>
      <c r="K18" s="3"/>
      <c r="L18" s="3"/>
      <c r="M18" s="3"/>
      <c r="N18" s="3"/>
      <c r="O18" s="3"/>
      <c r="P18" s="3"/>
      <c r="Q18" s="3" t="s">
        <v>30</v>
      </c>
      <c r="R18" s="3" t="s">
        <v>31</v>
      </c>
      <c r="S18" s="3" t="s">
        <v>31</v>
      </c>
    </row>
    <row r="19" spans="1:19" ht="48" customHeight="1">
      <c r="A19" s="3" t="s">
        <v>106</v>
      </c>
      <c r="B19" s="3" t="s">
        <v>95</v>
      </c>
      <c r="C19" s="3" t="s">
        <v>96</v>
      </c>
      <c r="D19" s="3" t="s">
        <v>107</v>
      </c>
      <c r="E19" s="3" t="s">
        <v>108</v>
      </c>
      <c r="F19" s="3" t="s">
        <v>35</v>
      </c>
      <c r="G19" s="3" t="s">
        <v>109</v>
      </c>
      <c r="H19" s="3" t="s">
        <v>110</v>
      </c>
      <c r="I19" s="3" t="s">
        <v>29</v>
      </c>
      <c r="J19" s="3"/>
      <c r="K19" s="3"/>
      <c r="L19" s="3"/>
      <c r="M19" s="3"/>
      <c r="N19" s="3"/>
      <c r="O19" s="3"/>
      <c r="P19" s="3"/>
      <c r="Q19" s="3" t="s">
        <v>30</v>
      </c>
      <c r="R19" s="3" t="s">
        <v>31</v>
      </c>
      <c r="S19" s="3" t="s">
        <v>111</v>
      </c>
    </row>
    <row r="20" spans="1:19" ht="48" customHeight="1">
      <c r="A20" s="3" t="s">
        <v>112</v>
      </c>
      <c r="B20" s="3" t="s">
        <v>56</v>
      </c>
      <c r="C20" s="3" t="s">
        <v>113</v>
      </c>
      <c r="D20" s="3" t="s">
        <v>114</v>
      </c>
      <c r="E20" s="3" t="s">
        <v>115</v>
      </c>
      <c r="F20" s="3" t="s">
        <v>35</v>
      </c>
      <c r="G20" s="3" t="s">
        <v>116</v>
      </c>
      <c r="H20" s="3" t="s">
        <v>117</v>
      </c>
      <c r="I20" s="3" t="s">
        <v>29</v>
      </c>
      <c r="J20" s="3"/>
      <c r="K20" s="3"/>
      <c r="L20" s="3"/>
      <c r="M20" s="3"/>
      <c r="N20" s="3"/>
      <c r="O20" s="3"/>
      <c r="P20" s="3"/>
      <c r="Q20" s="3" t="s">
        <v>30</v>
      </c>
      <c r="R20" s="3" t="s">
        <v>31</v>
      </c>
      <c r="S20" s="3" t="s">
        <v>31</v>
      </c>
    </row>
    <row r="21" spans="1:19" ht="48" customHeight="1">
      <c r="A21" s="3" t="s">
        <v>118</v>
      </c>
      <c r="B21" s="3" t="s">
        <v>56</v>
      </c>
      <c r="C21" s="3" t="s">
        <v>113</v>
      </c>
      <c r="D21" s="3" t="s">
        <v>119</v>
      </c>
      <c r="E21" s="3" t="s">
        <v>120</v>
      </c>
      <c r="F21" s="3" t="s">
        <v>35</v>
      </c>
      <c r="G21" s="3" t="s">
        <v>121</v>
      </c>
      <c r="H21" s="3" t="s">
        <v>122</v>
      </c>
      <c r="I21" s="3" t="s">
        <v>29</v>
      </c>
      <c r="J21" s="3"/>
      <c r="K21" s="3"/>
      <c r="L21" s="3"/>
      <c r="M21" s="3"/>
      <c r="N21" s="3"/>
      <c r="O21" s="3"/>
      <c r="P21" s="3"/>
      <c r="Q21" s="3" t="s">
        <v>30</v>
      </c>
      <c r="R21" s="3" t="s">
        <v>31</v>
      </c>
      <c r="S21" s="3" t="s">
        <v>31</v>
      </c>
    </row>
    <row r="22" spans="1:19" ht="48" customHeight="1">
      <c r="A22" s="3" t="s">
        <v>123</v>
      </c>
      <c r="B22" s="3" t="s">
        <v>56</v>
      </c>
      <c r="C22" s="3" t="s">
        <v>113</v>
      </c>
      <c r="D22" s="3" t="s">
        <v>124</v>
      </c>
      <c r="E22" s="3" t="s">
        <v>125</v>
      </c>
      <c r="F22" s="3" t="s">
        <v>35</v>
      </c>
      <c r="G22" s="3" t="s">
        <v>126</v>
      </c>
      <c r="H22" s="3" t="s">
        <v>127</v>
      </c>
      <c r="I22" s="3" t="s">
        <v>29</v>
      </c>
      <c r="J22" s="3"/>
      <c r="K22" s="3"/>
      <c r="L22" s="3"/>
      <c r="M22" s="3"/>
      <c r="N22" s="3"/>
      <c r="O22" s="3"/>
      <c r="P22" s="3"/>
      <c r="Q22" s="3" t="s">
        <v>30</v>
      </c>
      <c r="R22" s="3" t="s">
        <v>38</v>
      </c>
      <c r="S22" s="3" t="s">
        <v>38</v>
      </c>
    </row>
    <row r="23" spans="1:19" ht="48" customHeight="1">
      <c r="A23" s="3" t="s">
        <v>128</v>
      </c>
      <c r="B23" s="3" t="s">
        <v>22</v>
      </c>
      <c r="C23" s="3" t="s">
        <v>129</v>
      </c>
      <c r="D23" s="3" t="s">
        <v>130</v>
      </c>
      <c r="E23" s="3" t="s">
        <v>131</v>
      </c>
      <c r="F23" s="3" t="s">
        <v>35</v>
      </c>
      <c r="G23" s="3" t="s">
        <v>132</v>
      </c>
      <c r="H23" s="3" t="s">
        <v>133</v>
      </c>
      <c r="I23" s="3" t="s">
        <v>29</v>
      </c>
      <c r="J23" s="3"/>
      <c r="K23" s="3"/>
      <c r="L23" s="3"/>
      <c r="M23" s="3"/>
      <c r="N23" s="3"/>
      <c r="O23" s="3"/>
      <c r="P23" s="3"/>
      <c r="Q23" s="3" t="s">
        <v>30</v>
      </c>
      <c r="R23" s="3" t="s">
        <v>31</v>
      </c>
      <c r="S23" s="3" t="s">
        <v>31</v>
      </c>
    </row>
    <row r="24" spans="1:19" ht="48" customHeight="1">
      <c r="A24" s="3" t="s">
        <v>134</v>
      </c>
      <c r="B24" s="3" t="s">
        <v>22</v>
      </c>
      <c r="C24" s="3" t="s">
        <v>129</v>
      </c>
      <c r="D24" s="3" t="s">
        <v>135</v>
      </c>
      <c r="E24" s="3" t="s">
        <v>136</v>
      </c>
      <c r="F24" s="3" t="s">
        <v>137</v>
      </c>
      <c r="G24" s="3" t="s">
        <v>138</v>
      </c>
      <c r="H24" s="3" t="s">
        <v>139</v>
      </c>
      <c r="I24" s="3" t="s">
        <v>29</v>
      </c>
      <c r="J24" s="3"/>
      <c r="K24" s="3"/>
      <c r="L24" s="3"/>
      <c r="M24" s="3"/>
      <c r="N24" s="3"/>
      <c r="O24" s="3"/>
      <c r="P24" s="3"/>
      <c r="Q24" s="3" t="s">
        <v>30</v>
      </c>
      <c r="R24" s="3" t="s">
        <v>31</v>
      </c>
      <c r="S24" s="3" t="s">
        <v>31</v>
      </c>
    </row>
    <row r="25" spans="1:19" ht="48" customHeight="1">
      <c r="A25" s="3" t="s">
        <v>140</v>
      </c>
      <c r="B25" s="3" t="s">
        <v>141</v>
      </c>
      <c r="C25" s="3" t="s">
        <v>129</v>
      </c>
      <c r="D25" s="3" t="s">
        <v>142</v>
      </c>
      <c r="E25" s="3" t="s">
        <v>143</v>
      </c>
      <c r="F25" s="3" t="s">
        <v>144</v>
      </c>
      <c r="G25" s="3" t="s">
        <v>145</v>
      </c>
      <c r="H25" s="3" t="s">
        <v>146</v>
      </c>
      <c r="I25" s="3" t="s">
        <v>29</v>
      </c>
      <c r="J25" s="3"/>
      <c r="K25" s="3"/>
      <c r="L25" s="3"/>
      <c r="M25" s="3"/>
      <c r="N25" s="3"/>
      <c r="O25" s="3"/>
      <c r="P25" s="3"/>
      <c r="Q25" s="3" t="s">
        <v>30</v>
      </c>
      <c r="R25" s="3" t="s">
        <v>31</v>
      </c>
      <c r="S25" s="3" t="s">
        <v>31</v>
      </c>
    </row>
    <row r="26" spans="1:19" ht="48" customHeight="1">
      <c r="A26" s="3" t="s">
        <v>147</v>
      </c>
      <c r="B26" s="3" t="s">
        <v>56</v>
      </c>
      <c r="C26" s="3" t="s">
        <v>148</v>
      </c>
      <c r="D26" s="3" t="s">
        <v>149</v>
      </c>
      <c r="E26" s="3" t="s">
        <v>150</v>
      </c>
      <c r="F26" s="3" t="s">
        <v>35</v>
      </c>
      <c r="G26" s="3" t="s">
        <v>151</v>
      </c>
      <c r="H26" s="3" t="s">
        <v>152</v>
      </c>
      <c r="I26" s="3" t="s">
        <v>29</v>
      </c>
      <c r="J26" s="3"/>
      <c r="K26" s="3"/>
      <c r="L26" s="3"/>
      <c r="M26" s="3"/>
      <c r="N26" s="3"/>
      <c r="O26" s="3"/>
      <c r="P26" s="3"/>
      <c r="Q26" s="3" t="s">
        <v>30</v>
      </c>
      <c r="R26" s="3" t="s">
        <v>31</v>
      </c>
      <c r="S26" s="3" t="s">
        <v>31</v>
      </c>
    </row>
    <row r="27" spans="1:19" ht="48" customHeight="1">
      <c r="A27" s="3" t="s">
        <v>153</v>
      </c>
      <c r="B27" s="3" t="s">
        <v>56</v>
      </c>
      <c r="C27" s="3" t="s">
        <v>148</v>
      </c>
      <c r="D27" s="3" t="s">
        <v>154</v>
      </c>
      <c r="E27" s="3" t="s">
        <v>155</v>
      </c>
      <c r="F27" s="3" t="s">
        <v>35</v>
      </c>
      <c r="G27" s="3" t="s">
        <v>156</v>
      </c>
      <c r="H27" s="3" t="s">
        <v>157</v>
      </c>
      <c r="I27" s="3" t="s">
        <v>29</v>
      </c>
      <c r="J27" s="3"/>
      <c r="K27" s="3"/>
      <c r="L27" s="3"/>
      <c r="M27" s="3"/>
      <c r="N27" s="3"/>
      <c r="O27" s="3"/>
      <c r="P27" s="3"/>
      <c r="Q27" s="3" t="s">
        <v>30</v>
      </c>
      <c r="R27" s="3" t="s">
        <v>31</v>
      </c>
      <c r="S27" s="3" t="s">
        <v>31</v>
      </c>
    </row>
    <row r="28" spans="1:19" ht="48" customHeight="1">
      <c r="A28" s="3" t="s">
        <v>158</v>
      </c>
      <c r="B28" s="3" t="s">
        <v>56</v>
      </c>
      <c r="C28" s="3" t="s">
        <v>148</v>
      </c>
      <c r="D28" s="3" t="s">
        <v>159</v>
      </c>
      <c r="E28" s="3" t="s">
        <v>160</v>
      </c>
      <c r="F28" s="3" t="s">
        <v>35</v>
      </c>
      <c r="G28" s="3" t="s">
        <v>161</v>
      </c>
      <c r="H28" s="3" t="s">
        <v>162</v>
      </c>
      <c r="I28" s="3" t="s">
        <v>29</v>
      </c>
      <c r="J28" s="3"/>
      <c r="K28" s="3"/>
      <c r="L28" s="3"/>
      <c r="M28" s="3"/>
      <c r="N28" s="3"/>
      <c r="O28" s="3"/>
      <c r="P28" s="3"/>
      <c r="Q28" s="3" t="s">
        <v>30</v>
      </c>
      <c r="R28" s="3" t="s">
        <v>31</v>
      </c>
      <c r="S28" s="3" t="s">
        <v>31</v>
      </c>
    </row>
    <row r="29" spans="1:19" ht="48" customHeight="1">
      <c r="A29" s="3" t="s">
        <v>163</v>
      </c>
      <c r="B29" s="3" t="s">
        <v>62</v>
      </c>
      <c r="C29" s="3" t="s">
        <v>164</v>
      </c>
      <c r="D29" s="3" t="s">
        <v>165</v>
      </c>
      <c r="E29" s="3" t="s">
        <v>166</v>
      </c>
      <c r="F29" s="3" t="s">
        <v>35</v>
      </c>
      <c r="G29" s="3" t="s">
        <v>167</v>
      </c>
      <c r="H29" s="3" t="s">
        <v>168</v>
      </c>
      <c r="I29" s="3" t="s">
        <v>29</v>
      </c>
      <c r="J29" s="3"/>
      <c r="K29" s="3"/>
      <c r="L29" s="3"/>
      <c r="M29" s="3"/>
      <c r="N29" s="3"/>
      <c r="O29" s="3"/>
      <c r="P29" s="3"/>
      <c r="Q29" s="3" t="s">
        <v>30</v>
      </c>
      <c r="R29" s="3" t="s">
        <v>31</v>
      </c>
      <c r="S29" s="3" t="s">
        <v>38</v>
      </c>
    </row>
    <row r="30" spans="1:19" ht="48" customHeight="1">
      <c r="A30" s="3" t="s">
        <v>169</v>
      </c>
      <c r="B30" s="3" t="s">
        <v>62</v>
      </c>
      <c r="C30" s="3" t="s">
        <v>164</v>
      </c>
      <c r="D30" s="3" t="s">
        <v>170</v>
      </c>
      <c r="E30" s="3" t="s">
        <v>171</v>
      </c>
      <c r="F30" s="3" t="s">
        <v>172</v>
      </c>
      <c r="G30" s="3" t="s">
        <v>173</v>
      </c>
      <c r="H30" s="3" t="s">
        <v>174</v>
      </c>
      <c r="I30" s="3" t="s">
        <v>29</v>
      </c>
      <c r="J30" s="3"/>
      <c r="K30" s="3"/>
      <c r="L30" s="3"/>
      <c r="M30" s="3"/>
      <c r="N30" s="3"/>
      <c r="O30" s="3"/>
      <c r="P30" s="3"/>
      <c r="Q30" s="3" t="s">
        <v>30</v>
      </c>
      <c r="R30" s="3" t="s">
        <v>31</v>
      </c>
      <c r="S30" s="3" t="s">
        <v>31</v>
      </c>
    </row>
    <row r="31" spans="1:19" ht="48" customHeight="1">
      <c r="A31" s="3" t="s">
        <v>175</v>
      </c>
      <c r="B31" s="3" t="s">
        <v>62</v>
      </c>
      <c r="C31" s="3" t="s">
        <v>164</v>
      </c>
      <c r="D31" s="3" t="s">
        <v>176</v>
      </c>
      <c r="E31" s="3" t="s">
        <v>177</v>
      </c>
      <c r="F31" s="3" t="s">
        <v>35</v>
      </c>
      <c r="G31" s="3" t="s">
        <v>178</v>
      </c>
      <c r="H31" s="3" t="s">
        <v>179</v>
      </c>
      <c r="I31" s="3" t="s">
        <v>29</v>
      </c>
      <c r="J31" s="3"/>
      <c r="K31" s="3"/>
      <c r="L31" s="3"/>
      <c r="M31" s="3"/>
      <c r="N31" s="3"/>
      <c r="O31" s="3"/>
      <c r="P31" s="3"/>
      <c r="Q31" s="3" t="s">
        <v>30</v>
      </c>
      <c r="R31" s="3" t="s">
        <v>38</v>
      </c>
      <c r="S31" s="3" t="s">
        <v>38</v>
      </c>
    </row>
    <row r="32" spans="1:19" ht="48" customHeight="1">
      <c r="A32" s="3" t="s">
        <v>180</v>
      </c>
      <c r="B32" s="3" t="s">
        <v>141</v>
      </c>
      <c r="C32" s="3" t="s">
        <v>181</v>
      </c>
      <c r="D32" s="3" t="s">
        <v>182</v>
      </c>
      <c r="E32" s="3" t="s">
        <v>183</v>
      </c>
      <c r="F32" s="3" t="s">
        <v>35</v>
      </c>
      <c r="G32" s="3" t="s">
        <v>184</v>
      </c>
      <c r="H32" s="3" t="s">
        <v>185</v>
      </c>
      <c r="I32" s="3" t="s">
        <v>29</v>
      </c>
      <c r="J32" s="3"/>
      <c r="K32" s="3"/>
      <c r="L32" s="3"/>
      <c r="M32" s="3"/>
      <c r="N32" s="3"/>
      <c r="O32" s="3"/>
      <c r="P32" s="3"/>
      <c r="Q32" s="3" t="s">
        <v>30</v>
      </c>
      <c r="R32" s="3" t="s">
        <v>31</v>
      </c>
      <c r="S32" s="3" t="s">
        <v>31</v>
      </c>
    </row>
    <row r="33" spans="1:19" ht="48" customHeight="1">
      <c r="A33" s="3" t="s">
        <v>186</v>
      </c>
      <c r="B33" s="3" t="s">
        <v>141</v>
      </c>
      <c r="C33" s="3" t="s">
        <v>181</v>
      </c>
      <c r="D33" s="3" t="s">
        <v>187</v>
      </c>
      <c r="E33" s="3" t="s">
        <v>188</v>
      </c>
      <c r="F33" s="3" t="s">
        <v>189</v>
      </c>
      <c r="G33" s="3" t="s">
        <v>190</v>
      </c>
      <c r="H33" s="3" t="s">
        <v>191</v>
      </c>
      <c r="I33" s="3" t="s">
        <v>29</v>
      </c>
      <c r="J33" s="3"/>
      <c r="K33" s="3"/>
      <c r="L33" s="3"/>
      <c r="M33" s="3"/>
      <c r="N33" s="3"/>
      <c r="O33" s="3"/>
      <c r="P33" s="3"/>
      <c r="Q33" s="3" t="s">
        <v>30</v>
      </c>
      <c r="R33" s="3" t="s">
        <v>31</v>
      </c>
      <c r="S33" s="3" t="s">
        <v>31</v>
      </c>
    </row>
    <row r="34" spans="1:19" ht="48" customHeight="1">
      <c r="A34" s="3" t="s">
        <v>192</v>
      </c>
      <c r="B34" s="3" t="s">
        <v>141</v>
      </c>
      <c r="C34" s="3" t="s">
        <v>181</v>
      </c>
      <c r="D34" s="3" t="s">
        <v>193</v>
      </c>
      <c r="E34" s="3" t="s">
        <v>194</v>
      </c>
      <c r="F34" s="3" t="s">
        <v>195</v>
      </c>
      <c r="G34" s="3" t="s">
        <v>196</v>
      </c>
      <c r="H34" s="3" t="s">
        <v>197</v>
      </c>
      <c r="I34" s="3" t="s">
        <v>29</v>
      </c>
      <c r="J34" s="3"/>
      <c r="K34" s="3"/>
      <c r="L34" s="3"/>
      <c r="M34" s="3"/>
      <c r="N34" s="3"/>
      <c r="O34" s="3"/>
      <c r="P34" s="3"/>
      <c r="Q34" s="3" t="s">
        <v>30</v>
      </c>
      <c r="R34" s="3" t="s">
        <v>31</v>
      </c>
      <c r="S34" s="3" t="s">
        <v>31</v>
      </c>
    </row>
  </sheetData>
  <mergeCells count="2">
    <mergeCell ref="A1:S1"/>
    <mergeCell ref="A2:S2"/>
  </mergeCells>
  <conditionalFormatting sqref="Q5:Q34">
    <cfRule type="expression" dxfId="4" priority="1">
      <formula>Q5="Pass"</formula>
    </cfRule>
    <cfRule type="expression" dxfId="3" priority="2">
      <formula>Q5="Fail"</formula>
    </cfRule>
    <cfRule type="expression" dxfId="2" priority="3">
      <formula>Q5="Blocked"</formula>
    </cfRule>
  </conditionalFormatting>
  <conditionalFormatting sqref="R5:R34">
    <cfRule type="expression" dxfId="1" priority="4">
      <formula>R5="High"</formula>
    </cfRule>
  </conditionalFormatting>
  <conditionalFormatting sqref="S5:S34">
    <cfRule type="expression" dxfId="0" priority="5">
      <formula>S5="Critical"</formula>
    </cfRule>
  </conditionalFormatting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Lists!$D$2:$D$4</xm:f>
          </x14:formula1>
          <xm:sqref>J5:O34</xm:sqref>
        </x14:dataValidation>
        <x14:dataValidation type="list" xr:uid="{00000000-0002-0000-0000-000001000000}">
          <x14:formula1>
            <xm:f>Lists!$A$2:$A$6</xm:f>
          </x14:formula1>
          <xm:sqref>Q5:Q34</xm:sqref>
        </x14:dataValidation>
        <x14:dataValidation type="list" xr:uid="{00000000-0002-0000-0000-000002000000}">
          <x14:formula1>
            <xm:f>Lists!$B$2:$B$4</xm:f>
          </x14:formula1>
          <xm:sqref>R5:R34</xm:sqref>
        </x14:dataValidation>
        <x14:dataValidation type="list" xr:uid="{00000000-0002-0000-0000-000003000000}">
          <x14:formula1>
            <xm:f>Lists!$C$2:$C$5</xm:f>
          </x14:formula1>
          <xm:sqref>S5:S34</xm:sqref>
        </x14:dataValidation>
        <x14:dataValidation type="list" xr:uid="{00000000-0002-0000-0000-000004000000}">
          <x14:formula1>
            <xm:f>Lists!$E$2:$E$6</xm:f>
          </x14:formula1>
          <xm:sqref>B5:B34</xm:sqref>
        </x14:dataValidation>
        <x14:dataValidation type="list" xr:uid="{00000000-0002-0000-0000-000005000000}">
          <x14:formula1>
            <xm:f>Lists!$F$2:$F$11</xm:f>
          </x14:formula1>
          <xm:sqref>C5:C34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zoomScaleSheetLayoutView="100" workbookViewId="0"/>
  </sheetViews>
  <sheetFormatPr defaultRowHeight="15"/>
  <cols>
    <col min="1" max="1" width="18" customWidth="1"/>
    <col min="2" max="2" width="55" customWidth="1"/>
    <col min="3" max="3" width="12" customWidth="1"/>
    <col min="4" max="4" width="34" customWidth="1"/>
    <col min="5" max="5" width="12" customWidth="1"/>
  </cols>
  <sheetData>
    <row r="1" spans="1:8" ht="27.95" customHeight="1">
      <c r="A1" s="8" t="s">
        <v>198</v>
      </c>
      <c r="B1" s="10"/>
      <c r="C1" s="10"/>
      <c r="D1" s="10"/>
      <c r="E1" s="10"/>
      <c r="F1" s="10"/>
      <c r="G1" s="10"/>
      <c r="H1" s="10"/>
    </row>
    <row r="3" spans="1:8">
      <c r="A3" s="4" t="s">
        <v>199</v>
      </c>
      <c r="B3" s="4" t="s">
        <v>200</v>
      </c>
      <c r="D3" s="4" t="s">
        <v>4</v>
      </c>
      <c r="E3" s="4" t="s">
        <v>201</v>
      </c>
    </row>
    <row r="4" spans="1:8">
      <c r="A4" s="5" t="s">
        <v>202</v>
      </c>
      <c r="B4" s="5">
        <f>COUNTA('Test Cases'!$A$5:$A$34)</f>
        <v>30</v>
      </c>
      <c r="D4" s="2" t="s">
        <v>23</v>
      </c>
      <c r="E4" s="2">
        <f>COUNTIF('Test Cases'!$C$5:$C$34,"User Information Retention")</f>
        <v>3</v>
      </c>
    </row>
    <row r="5" spans="1:8">
      <c r="A5" s="5" t="s">
        <v>30</v>
      </c>
      <c r="B5" s="5">
        <f>COUNTIF('Test Cases'!$Q$5:$Q$34,"Not Executed")</f>
        <v>30</v>
      </c>
      <c r="D5" s="2" t="s">
        <v>45</v>
      </c>
      <c r="E5" s="2">
        <f>COUNTIF('Test Cases'!$C$5:$C$34,"Project Information Retention")</f>
        <v>3</v>
      </c>
    </row>
    <row r="6" spans="1:8">
      <c r="A6" s="5" t="s">
        <v>203</v>
      </c>
      <c r="B6" s="5">
        <f>COUNTIF('Test Cases'!$R$5:$R$34,"High")</f>
        <v>26</v>
      </c>
      <c r="D6" s="2" t="s">
        <v>63</v>
      </c>
      <c r="E6" s="2">
        <f>COUNTIF('Test Cases'!$C$5:$C$34,"Preference Retention")</f>
        <v>3</v>
      </c>
    </row>
    <row r="7" spans="1:8">
      <c r="A7" s="5" t="s">
        <v>204</v>
      </c>
      <c r="B7" s="5">
        <f>COUNTIF('Test Cases'!$S$5:$S$34,"Critical")</f>
        <v>1</v>
      </c>
      <c r="D7" s="2" t="s">
        <v>79</v>
      </c>
      <c r="E7" s="2">
        <f>COUNTIF('Test Cases'!$C$5:$C$34,"Multi-Turn Conversations")</f>
        <v>3</v>
      </c>
    </row>
    <row r="8" spans="1:8">
      <c r="A8" s="5" t="s">
        <v>205</v>
      </c>
      <c r="B8" s="5">
        <f>COUNTIF('Test Cases'!$S$5:$S$34,"High")</f>
        <v>22</v>
      </c>
      <c r="D8" s="2" t="s">
        <v>96</v>
      </c>
      <c r="E8" s="2">
        <f>COUNTIF('Test Cases'!$C$5:$C$34,"Long Conversation Testing")</f>
        <v>3</v>
      </c>
    </row>
    <row r="9" spans="1:8">
      <c r="D9" s="2" t="s">
        <v>113</v>
      </c>
      <c r="E9" s="2">
        <f>COUNTIF('Test Cases'!$C$5:$C$34,"Context Switching")</f>
        <v>3</v>
      </c>
    </row>
    <row r="10" spans="1:8">
      <c r="D10" s="2" t="s">
        <v>129</v>
      </c>
      <c r="E10" s="2">
        <f>COUNTIF('Test Cases'!$C$5:$C$34,"Context Recovery")</f>
        <v>3</v>
      </c>
    </row>
    <row r="11" spans="1:8">
      <c r="A11" s="4" t="s">
        <v>206</v>
      </c>
      <c r="B11" s="4" t="s">
        <v>207</v>
      </c>
      <c r="C11" s="4" t="s">
        <v>201</v>
      </c>
      <c r="D11" s="2" t="s">
        <v>148</v>
      </c>
      <c r="E11" s="2">
        <f>COUNTIF('Test Cases'!$C$5:$C$34,"Multiple Entity Tracking")</f>
        <v>3</v>
      </c>
    </row>
    <row r="12" spans="1:8">
      <c r="A12" s="2" t="s">
        <v>22</v>
      </c>
      <c r="B12" s="2" t="s">
        <v>208</v>
      </c>
      <c r="C12" s="2">
        <f>COUNTIF('Test Cases'!$B$5:$B$34,"OWUI-TS-036")</f>
        <v>10</v>
      </c>
      <c r="D12" s="2" t="s">
        <v>164</v>
      </c>
      <c r="E12" s="2">
        <f>COUNTIF('Test Cases'!$C$5:$C$34,"Instruction Carry-Forward")</f>
        <v>3</v>
      </c>
    </row>
    <row r="13" spans="1:8">
      <c r="A13" s="2" t="s">
        <v>62</v>
      </c>
      <c r="B13" s="2" t="s">
        <v>209</v>
      </c>
      <c r="C13" s="2">
        <f>COUNTIF('Test Cases'!$B$5:$B$34,"OWUI-TS-037")</f>
        <v>6</v>
      </c>
      <c r="D13" s="2" t="s">
        <v>181</v>
      </c>
      <c r="E13" s="2">
        <f>COUNTIF('Test Cases'!$C$5:$C$34,"Context Loss Handling")</f>
        <v>3</v>
      </c>
    </row>
    <row r="14" spans="1:8">
      <c r="A14" s="2" t="s">
        <v>95</v>
      </c>
      <c r="B14" s="2" t="s">
        <v>210</v>
      </c>
      <c r="C14" s="2">
        <f>COUNTIF('Test Cases'!$B$5:$B$34,"OWUI-TS-038")</f>
        <v>3</v>
      </c>
    </row>
    <row r="15" spans="1:8">
      <c r="A15" s="2" t="s">
        <v>56</v>
      </c>
      <c r="B15" s="2" t="s">
        <v>211</v>
      </c>
      <c r="C15" s="2">
        <f>COUNTIF('Test Cases'!$B$5:$B$34,"OWUI-TS-039")</f>
        <v>7</v>
      </c>
    </row>
    <row r="16" spans="1:8">
      <c r="A16" s="2" t="s">
        <v>141</v>
      </c>
      <c r="B16" s="2" t="s">
        <v>212</v>
      </c>
      <c r="C16" s="2">
        <f>COUNTIF('Test Cases'!$B$5:$B$34,"OWUI-TS-040")</f>
        <v>4</v>
      </c>
    </row>
  </sheetData>
  <mergeCells count="1">
    <mergeCell ref="A1:H1"/>
  </mergeCell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zoomScaleSheetLayoutView="100" workbookViewId="0"/>
  </sheetViews>
  <sheetFormatPr defaultRowHeight="15"/>
  <cols>
    <col min="1" max="1" width="30" customWidth="1"/>
    <col min="2" max="2" width="48" customWidth="1"/>
    <col min="3" max="3" width="52" customWidth="1"/>
    <col min="4" max="4" width="48" customWidth="1"/>
  </cols>
  <sheetData>
    <row r="1" spans="1:4">
      <c r="A1" s="9" t="s">
        <v>213</v>
      </c>
      <c r="B1" s="10"/>
      <c r="C1" s="10"/>
      <c r="D1" s="10"/>
    </row>
    <row r="3" spans="1:4">
      <c r="A3" s="4" t="s">
        <v>214</v>
      </c>
      <c r="B3" s="4" t="s">
        <v>215</v>
      </c>
      <c r="C3" s="4" t="s">
        <v>216</v>
      </c>
      <c r="D3" s="4" t="s">
        <v>217</v>
      </c>
    </row>
    <row r="4" spans="1:4">
      <c r="A4" s="3" t="s">
        <v>11</v>
      </c>
      <c r="B4" s="3" t="s">
        <v>218</v>
      </c>
      <c r="C4" s="3" t="s">
        <v>219</v>
      </c>
      <c r="D4" s="3" t="s">
        <v>220</v>
      </c>
    </row>
    <row r="5" spans="1:4">
      <c r="A5" s="3" t="s">
        <v>12</v>
      </c>
      <c r="B5" s="3" t="s">
        <v>221</v>
      </c>
      <c r="C5" s="3" t="s">
        <v>222</v>
      </c>
      <c r="D5" s="3" t="s">
        <v>223</v>
      </c>
    </row>
    <row r="6" spans="1:4">
      <c r="A6" s="3" t="s">
        <v>13</v>
      </c>
      <c r="B6" s="3" t="s">
        <v>224</v>
      </c>
      <c r="C6" s="3" t="s">
        <v>225</v>
      </c>
      <c r="D6" s="3" t="s">
        <v>226</v>
      </c>
    </row>
    <row r="7" spans="1:4">
      <c r="A7" s="3" t="s">
        <v>14</v>
      </c>
      <c r="B7" s="3" t="s">
        <v>227</v>
      </c>
      <c r="C7" s="3" t="s">
        <v>228</v>
      </c>
      <c r="D7" s="3" t="s">
        <v>229</v>
      </c>
    </row>
    <row r="8" spans="1:4">
      <c r="A8" s="3" t="s">
        <v>15</v>
      </c>
      <c r="B8" s="3" t="s">
        <v>230</v>
      </c>
      <c r="C8" s="3" t="s">
        <v>231</v>
      </c>
      <c r="D8" s="3" t="s">
        <v>232</v>
      </c>
    </row>
    <row r="9" spans="1:4">
      <c r="A9" s="3" t="s">
        <v>16</v>
      </c>
      <c r="B9" s="3" t="s">
        <v>233</v>
      </c>
      <c r="C9" s="3" t="s">
        <v>234</v>
      </c>
      <c r="D9" s="3" t="s">
        <v>235</v>
      </c>
    </row>
  </sheetData>
  <mergeCells count="1">
    <mergeCell ref="A1:D1"/>
  </mergeCell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zoomScaleSheetLayoutView="100" workbookViewId="0"/>
  </sheetViews>
  <sheetFormatPr defaultRowHeight="15"/>
  <cols>
    <col min="1" max="1" width="18" customWidth="1"/>
    <col min="2" max="2" width="48" customWidth="1"/>
    <col min="3" max="3" width="50" customWidth="1"/>
    <col min="4" max="4" width="55" customWidth="1"/>
  </cols>
  <sheetData>
    <row r="1" spans="1:4">
      <c r="A1" s="9" t="s">
        <v>236</v>
      </c>
      <c r="B1" s="10"/>
      <c r="C1" s="10"/>
      <c r="D1" s="10"/>
    </row>
    <row r="3" spans="1:4">
      <c r="A3" s="4" t="s">
        <v>206</v>
      </c>
      <c r="B3" s="4" t="s">
        <v>207</v>
      </c>
      <c r="C3" s="4" t="s">
        <v>237</v>
      </c>
      <c r="D3" s="4" t="s">
        <v>238</v>
      </c>
    </row>
    <row r="4" spans="1:4">
      <c r="A4" s="3" t="s">
        <v>22</v>
      </c>
      <c r="B4" s="3" t="s">
        <v>208</v>
      </c>
      <c r="C4" s="3" t="s">
        <v>239</v>
      </c>
      <c r="D4" s="3" t="s">
        <v>240</v>
      </c>
    </row>
    <row r="5" spans="1:4">
      <c r="A5" s="3" t="s">
        <v>62</v>
      </c>
      <c r="B5" s="3" t="s">
        <v>209</v>
      </c>
      <c r="C5" s="3" t="s">
        <v>241</v>
      </c>
      <c r="D5" s="3" t="s">
        <v>242</v>
      </c>
    </row>
    <row r="6" spans="1:4">
      <c r="A6" s="3" t="s">
        <v>95</v>
      </c>
      <c r="B6" s="3" t="s">
        <v>210</v>
      </c>
      <c r="C6" s="3" t="s">
        <v>243</v>
      </c>
      <c r="D6" s="3" t="s">
        <v>244</v>
      </c>
    </row>
    <row r="7" spans="1:4">
      <c r="A7" s="3" t="s">
        <v>56</v>
      </c>
      <c r="B7" s="3" t="s">
        <v>211</v>
      </c>
      <c r="C7" s="3" t="s">
        <v>245</v>
      </c>
      <c r="D7" s="3" t="s">
        <v>246</v>
      </c>
    </row>
    <row r="8" spans="1:4">
      <c r="A8" s="3" t="s">
        <v>141</v>
      </c>
      <c r="B8" s="3" t="s">
        <v>212</v>
      </c>
      <c r="C8" s="3" t="s">
        <v>247</v>
      </c>
      <c r="D8" s="3" t="s">
        <v>248</v>
      </c>
    </row>
  </sheetData>
  <mergeCells count="1">
    <mergeCell ref="A1:D1"/>
  </mergeCell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zoomScaleSheetLayoutView="100" workbookViewId="0"/>
  </sheetViews>
  <sheetFormatPr defaultRowHeight="15"/>
  <cols>
    <col min="1" max="6" width="28" customWidth="1"/>
  </cols>
  <sheetData>
    <row r="1" spans="1:6">
      <c r="A1" s="4" t="s">
        <v>18</v>
      </c>
      <c r="B1" s="4" t="s">
        <v>19</v>
      </c>
      <c r="C1" s="4" t="s">
        <v>20</v>
      </c>
      <c r="D1" s="4" t="s">
        <v>249</v>
      </c>
      <c r="E1" s="4" t="s">
        <v>250</v>
      </c>
      <c r="F1" s="4" t="s">
        <v>251</v>
      </c>
    </row>
    <row r="2" spans="1:6">
      <c r="A2" t="s">
        <v>30</v>
      </c>
      <c r="B2" t="s">
        <v>31</v>
      </c>
      <c r="C2" t="s">
        <v>111</v>
      </c>
      <c r="D2" t="s">
        <v>252</v>
      </c>
      <c r="E2" t="s">
        <v>22</v>
      </c>
      <c r="F2" t="s">
        <v>23</v>
      </c>
    </row>
    <row r="3" spans="1:6">
      <c r="A3" t="s">
        <v>253</v>
      </c>
      <c r="B3" t="s">
        <v>38</v>
      </c>
      <c r="C3" t="s">
        <v>31</v>
      </c>
      <c r="D3" t="s">
        <v>254</v>
      </c>
      <c r="E3" t="s">
        <v>62</v>
      </c>
      <c r="F3" t="s">
        <v>45</v>
      </c>
    </row>
    <row r="4" spans="1:6">
      <c r="A4" t="s">
        <v>255</v>
      </c>
      <c r="B4" t="s">
        <v>256</v>
      </c>
      <c r="C4" t="s">
        <v>38</v>
      </c>
      <c r="D4" t="s">
        <v>257</v>
      </c>
      <c r="E4" t="s">
        <v>95</v>
      </c>
      <c r="F4" t="s">
        <v>63</v>
      </c>
    </row>
    <row r="5" spans="1:6">
      <c r="A5" t="s">
        <v>258</v>
      </c>
      <c r="C5" t="s">
        <v>256</v>
      </c>
      <c r="E5" t="s">
        <v>56</v>
      </c>
      <c r="F5" t="s">
        <v>79</v>
      </c>
    </row>
    <row r="6" spans="1:6">
      <c r="A6" t="s">
        <v>259</v>
      </c>
      <c r="E6" t="s">
        <v>141</v>
      </c>
      <c r="F6" t="s">
        <v>96</v>
      </c>
    </row>
    <row r="7" spans="1:6">
      <c r="F7" t="s">
        <v>113</v>
      </c>
    </row>
    <row r="8" spans="1:6">
      <c r="F8" t="s">
        <v>129</v>
      </c>
    </row>
    <row r="9" spans="1:6">
      <c r="F9" t="s">
        <v>148</v>
      </c>
    </row>
    <row r="10" spans="1:6">
      <c r="F10" t="s">
        <v>164</v>
      </c>
    </row>
    <row r="11" spans="1:6">
      <c r="F11" t="s">
        <v>181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Swaraj Rawte</cp:lastModifiedBy>
  <cp:revision/>
  <dcterms:created xsi:type="dcterms:W3CDTF">2026-07-09T06:28:30Z</dcterms:created>
  <dcterms:modified xsi:type="dcterms:W3CDTF">2026-07-09T06:28:30Z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2026-07-09T06:27:56Z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3ceeaf65-9b0c-4e94-9196-f28300d02137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